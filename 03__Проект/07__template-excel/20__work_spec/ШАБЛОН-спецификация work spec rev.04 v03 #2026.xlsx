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1-Горизонт/02__Спецификации/02__Спецификации/00__raw/"/>
    </mc:Choice>
  </mc:AlternateContent>
  <xr:revisionPtr revIDLastSave="542" documentId="8_{E41F4DFA-A28F-42E7-9E8C-CAE5B7F57E4C}" xr6:coauthVersionLast="47" xr6:coauthVersionMax="47" xr10:uidLastSave="{A92B119A-D567-4154-BCC6-29AC7E961BC4}"/>
  <bookViews>
    <workbookView xWindow="132" yWindow="8676" windowWidth="45324" windowHeight="11412" tabRatio="633" activeTab="8"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_xlnm._FilterDatabase" localSheetId="1" hidden="1">SpecificationWork_2!$A$1:$D$10</definedName>
    <definedName name="ExternalData_1" localSheetId="5" hidden="1">HandbookBrand!$A$1:$B$88</definedName>
    <definedName name="ExternalData_1" localSheetId="4" hidden="1">HandbookProject!$A$1:$E$172</definedName>
    <definedName name="ExternalData_1" localSheetId="6" hidden="1">HandbookSupplier!$A$1:$B$48</definedName>
    <definedName name="ExternalData_1" localSheetId="7" hidden="1">HandbookUnit!$A$1:$B$5</definedName>
    <definedName name="ExternalData_1" localSheetId="2" hidden="1">SpecificationWork!$A$1:$AM$23</definedName>
  </definedNames>
  <calcPr calcId="191028" refMode="R1C1"/>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9" l="1"/>
  <c r="T11" i="29"/>
  <c r="W11" i="29"/>
  <c r="H7" i="29"/>
  <c r="H6" i="29"/>
  <c r="H2" i="29"/>
  <c r="H5" i="29" l="1"/>
  <c r="N5" i="29" s="1"/>
  <c r="N6" i="29"/>
  <c r="N7" i="29"/>
  <c r="H8" i="29"/>
  <c r="N8" i="29" s="1"/>
  <c r="H9" i="29"/>
  <c r="H10" i="29"/>
  <c r="N10" i="29" s="1"/>
  <c r="U7" i="25"/>
  <c r="Y7" i="25" s="1"/>
  <c r="Z7" i="25" s="1"/>
  <c r="U8" i="25"/>
  <c r="Y8" i="25" s="1"/>
  <c r="Z8" i="25" s="1"/>
  <c r="U9" i="25"/>
  <c r="Y9" i="25" s="1"/>
  <c r="Z9" i="25" s="1"/>
  <c r="U10" i="25"/>
  <c r="Y10" i="25" s="1"/>
  <c r="Z10" i="25" s="1"/>
  <c r="I6" i="25"/>
  <c r="K6" i="25" s="1"/>
  <c r="I7" i="25"/>
  <c r="I8" i="25"/>
  <c r="K8" i="25" s="1"/>
  <c r="I9" i="25"/>
  <c r="K9" i="25" s="1"/>
  <c r="I10" i="25"/>
  <c r="K10" i="25" s="1"/>
  <c r="D7" i="25"/>
  <c r="D8" i="25"/>
  <c r="D9" i="25"/>
  <c r="D10" i="25"/>
  <c r="U6" i="25"/>
  <c r="Y6" i="25" s="1"/>
  <c r="Z6" i="25" s="1"/>
  <c r="D3" i="25"/>
  <c r="D4" i="25"/>
  <c r="D5" i="25"/>
  <c r="D6" i="25"/>
  <c r="U5" i="25"/>
  <c r="I3" i="25"/>
  <c r="K3" i="25" s="1"/>
  <c r="I4" i="25"/>
  <c r="K4" i="25" s="1"/>
  <c r="I5" i="25"/>
  <c r="K5" i="25" s="1"/>
  <c r="U4" i="25"/>
  <c r="U2" i="25"/>
  <c r="Y2" i="25" s="1"/>
  <c r="U3" i="25"/>
  <c r="Y3" i="25" s="1"/>
  <c r="I2" i="25"/>
  <c r="D2" i="25"/>
  <c r="AI24" i="43"/>
  <c r="AM24" i="43"/>
  <c r="K2" i="25" l="1"/>
  <c r="K7" i="25"/>
  <c r="I8" i="29"/>
  <c r="K8" i="29" s="1"/>
  <c r="Q8" i="29" s="1"/>
  <c r="I7" i="29"/>
  <c r="K7" i="29" s="1"/>
  <c r="I6" i="29"/>
  <c r="K6" i="29" s="1"/>
  <c r="I5" i="29"/>
  <c r="K5" i="29" s="1"/>
  <c r="I9" i="29"/>
  <c r="K9" i="29" s="1"/>
  <c r="Q9" i="29" s="1"/>
  <c r="N9" i="29"/>
  <c r="I10" i="29"/>
  <c r="Y5" i="25"/>
  <c r="Z5" i="25" s="1"/>
  <c r="Y4" i="25"/>
  <c r="Z4" i="25" s="1"/>
  <c r="Z2" i="25"/>
  <c r="Z3" i="25"/>
  <c r="H3" i="29"/>
  <c r="N3" i="29" s="1"/>
  <c r="H4" i="29"/>
  <c r="N4" i="29" s="1"/>
  <c r="N2" i="29"/>
  <c r="Q7" i="29" l="1"/>
  <c r="A2" i="29" a="1"/>
  <c r="A2" i="29" s="1"/>
  <c r="Q6" i="29"/>
  <c r="Q5" i="29"/>
  <c r="K10" i="29"/>
  <c r="Q10" i="29" s="1"/>
  <c r="I4" i="29"/>
  <c r="I3" i="29"/>
  <c r="I2" i="29"/>
  <c r="K2" i="29" l="1"/>
  <c r="Q2" i="29" s="1"/>
  <c r="F6" i="29"/>
  <c r="M6" i="29" s="1"/>
  <c r="F10" i="29"/>
  <c r="M10" i="29" s="1"/>
  <c r="F9" i="29"/>
  <c r="M9" i="29" s="1"/>
  <c r="F7" i="29"/>
  <c r="M7" i="29" s="1"/>
  <c r="F5" i="29"/>
  <c r="M5" i="29" s="1"/>
  <c r="F8" i="29"/>
  <c r="M8" i="29" s="1"/>
  <c r="K3" i="29"/>
  <c r="Q3" i="29" s="1"/>
  <c r="K4" i="29"/>
  <c r="Q4" i="29" s="1"/>
  <c r="Q11" i="29" l="1"/>
  <c r="O8" i="29"/>
  <c r="P8" i="29" s="1"/>
  <c r="R8" i="29"/>
  <c r="S8" i="29" s="1"/>
  <c r="R10" i="29"/>
  <c r="S10" i="29" s="1"/>
  <c r="O10" i="29"/>
  <c r="P10" i="29" s="1"/>
  <c r="O6" i="29"/>
  <c r="P6" i="29" s="1"/>
  <c r="R6" i="29"/>
  <c r="S6" i="29" s="1"/>
  <c r="O5" i="29"/>
  <c r="P5" i="29" s="1"/>
  <c r="R5" i="29"/>
  <c r="S5" i="29" s="1"/>
  <c r="R7" i="29"/>
  <c r="S7" i="29" s="1"/>
  <c r="O7" i="29"/>
  <c r="P7" i="29" s="1"/>
  <c r="O9" i="29"/>
  <c r="P9" i="29" s="1"/>
  <c r="R9" i="29"/>
  <c r="S9" i="29" s="1"/>
  <c r="F3" i="29"/>
  <c r="M3" i="29" s="1"/>
  <c r="F4" i="29"/>
  <c r="M4" i="29" s="1"/>
  <c r="F2" i="29"/>
  <c r="R3" i="29" l="1"/>
  <c r="S3" i="29" s="1"/>
  <c r="O3" i="29"/>
  <c r="P3" i="29" s="1"/>
  <c r="R2" i="29"/>
  <c r="S2" i="29" s="1"/>
  <c r="O2" i="29"/>
  <c r="P2" i="29" s="1"/>
  <c r="O4" i="29"/>
  <c r="P4" i="29" s="1"/>
  <c r="R4" i="29"/>
  <c r="S4" i="29" s="1"/>
  <c r="S11"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tc={F6344F8B-2B3A-40F5-94E4-16B7A498AB48}</author>
    <author>tc={E3D9B2AC-BF73-467B-B4DB-9A01321331B9}</author>
    <author>tc={8F981E2E-A069-4F7D-B569-584150EAACC6}</author>
    <author>tc={7960CCAA-C85E-4532-A46A-96785E4D240A}</author>
    <author>tc={FE809EA2-7E50-4AEF-ADD4-15BD881CFCA5}</author>
    <author>tc={FE5A4F88-C626-4813-B9F6-AC623AC19292}</author>
    <author>tc={5D52B54C-0708-4CA1-A0BC-47334CF09CE6}</author>
    <author>tc={70842CBF-5120-4049-9941-DC7047DC8A17}</author>
    <author>tc={F4A88E00-01BF-4A9D-BB00-CA966B2636D4}</author>
    <author>tc={890F2321-773B-4860-984E-8BC625841E0A}</author>
    <author>tc={2C22FD44-0F6F-4613-A453-FA7B515CF251}</author>
    <author>tc={BE27801C-0731-473F-8682-66560F0BB1E4}</author>
    <author>tc={BF2CA57A-7DA7-402D-98F7-C3C603B6B406}</author>
    <author>tc={04599C53-D9FA-49F2-923B-EDB75AD601A2}</author>
    <author>tc={6F577B15-DEC3-4280-BB97-E6CA976D117B}</author>
    <author>tc={558DC68A-31E6-40BF-8F27-3467FE25D98D}</author>
    <author>tc={397FFE0C-F713-4E2F-B787-8428280F9203}</author>
    <author>tc={635CA893-B3CA-47BA-8F79-B4074D2943AC}</author>
    <author>tc={8620B4C4-3914-40DF-A218-4F9092ACBCCC}</author>
    <author>tc={0B7C2C1D-3BA7-464A-8F40-BB11C8377876}</author>
    <author>tc={A6B4B6DF-DD2A-463F-A7C3-7F87B17D3385}</author>
    <author>tc={2815824D-89DB-4994-9B34-7D12489A7D8C}</author>
    <author>tc={BC32CEEA-6CCC-42A0-9D55-CD12DF19372E}</author>
    <author>tc={DD218251-CF17-4800-B705-3E507BD24335}</author>
    <author>tc={1A2ACEFF-E713-463A-9D5B-54184A4CD29D}</author>
    <author>tc={A2183C8D-B3AF-4976-97A5-50EF84A0AF59}</author>
    <author>tc={6339678F-4C5D-4328-BE94-531FC243752F}</author>
    <author>tc={9A7C07C3-6A21-4EE8-BEF0-B48F9D85045A}</author>
    <author>tc={0FD87E57-4A0E-4B18-B9A5-14EFBAEA0360}</author>
    <author>tc={FC3D7DDB-A80F-4FFB-9267-3E86088C3010}</author>
  </authors>
  <commentList>
    <comment ref="A1" authorId="0" shapeId="0" xr:uid="{F6344F8B-2B3A-40F5-94E4-16B7A498AB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Уникальный порядковый номер позиции</t>
      </text>
    </comment>
    <comment ref="B1" authorId="1" shapeId="0" xr:uid="{E3D9B2AC-BF73-467B-B4DB-9A01321331B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из спецификации заказчика</t>
      </text>
    </comment>
    <comment ref="C1" authorId="2" shapeId="0" xr:uid="{8F981E2E-A069-4F7D-B569-584150EAACC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Полный номер проекта из таблицы реестр проектов</t>
      </text>
    </comment>
    <comment ref="D1" authorId="3" shapeId="0" xr:uid="{7960CCAA-C85E-4532-A46A-96785E4D24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ВЫЧИСЛЯЕМЫЙ СТОЛБЕЦ, РУКАМИ НЕ ЗАПОЛНЯТЬ ! Номер заказа в рамках проекта из списка заказов</t>
      </text>
    </comment>
    <comment ref="E1" authorId="4" shapeId="0" xr:uid="{FE809EA2-7E50-4AEF-ADD4-15BD881CFCA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Версия коллекции - число. Под КОЛЛЕКЦИЕЙ понимается объект данных который описывает стока, она же одна запись датасета</t>
      </text>
    </comment>
    <comment ref="F1" authorId="5" shapeId="0" xr:uid="{FE5A4F88-C626-4813-B9F6-AC623AC192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комплекта</t>
      </text>
    </comment>
    <comment ref="G1" authorId="6" shapeId="0" xr:uid="{5D52B54C-0708-4CA1-A0BC-47334CF09CE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Свободный (число или текст - латиницей) идентификатор комплекта
</t>
      </text>
    </comment>
    <comment ref="H1" authorId="7" shapeId="0" xr:uid="{70842CBF-5120-4049-9941-DC7047DC8A17}">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в комплекте</t>
      </text>
    </comment>
    <comment ref="I1" authorId="8" shapeId="0" xr:uid="{F4A88E00-01BF-4A9D-BB00-CA966B2636D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Полный порядковый номер позиции, состоящий из номер комплекта и номера порядкового в комплекте</t>
      </text>
    </comment>
    <comment ref="J1" authorId="9" shapeId="0" xr:uid="{890F2321-773B-4860-984E-8BC625841E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поставки позиции в данном заказе</t>
      </text>
    </comment>
    <comment ref="K1" authorId="10" shapeId="0" xr:uid="{2C22FD44-0F6F-4613-A453-FA7B515CF25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L1" authorId="11" shapeId="0" xr:uid="{BE27801C-0731-473F-8682-66560F0BB1E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Наименование позиции</t>
      </text>
    </comment>
    <comment ref="M1" authorId="12" shapeId="0" xr:uid="{BF2CA57A-7DA7-402D-98F7-C3C603B6B40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Технические характеристики позиции</t>
      </text>
    </comment>
    <comment ref="N1" authorId="13" shapeId="0" xr:uid="{04599C53-D9FA-49F2-923B-EDB75AD601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бренда производителя</t>
      </text>
    </comment>
    <comment ref="O1" authorId="14" shapeId="0" xr:uid="{6F577B15-DEC3-4280-BB97-E6CA976D11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поставщика</t>
      </text>
    </comment>
    <comment ref="P1" authorId="15" shapeId="0" xr:uid="{558DC68A-31E6-40BF-8F27-3467FE25D98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поставщика</t>
      </text>
    </comment>
    <comment ref="Q1" authorId="16" shapeId="0" xr:uid="{397FFE0C-F713-4E2F-B787-8428280F920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МАС/Горизонт</t>
      </text>
    </comment>
    <comment ref="R1" authorId="17" shapeId="0" xr:uid="{635CA893-B3CA-47BA-8F79-B4074D2943A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Единицы измерения из справочника</t>
      </text>
    </comment>
    <comment ref="S1" authorId="18" shapeId="0" xr:uid="{8620B4C4-3914-40DF-A218-4F9092ACBC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единиц данной позиции в комплекте</t>
      </text>
    </comment>
    <comment ref="T1" authorId="19" shapeId="0" xr:uid="{0B7C2C1D-3BA7-464A-8F40-BB11C83778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комплектов в поставке</t>
      </text>
    </comment>
    <comment ref="U1" authorId="20" shapeId="0" xr:uid="{A6B4B6DF-DD2A-463F-A7C3-7F87B17D338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Итоговое количество по данной позиции в поставке</t>
      </text>
    </comment>
    <comment ref="V1" authorId="21" shapeId="0" xr:uid="{2815824D-89DB-4994-9B34-7D12489A7D8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в наличии у поставщика</t>
      </text>
    </comment>
    <comment ref="W1" authorId="22" shapeId="0" xr:uid="{BC32CEEA-6CCC-42A0-9D55-CD12DF19372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закупка</t>
      </text>
    </comment>
    <comment ref="X1" authorId="23" shapeId="0" xr:uid="{DD218251-CF17-4800-B705-3E507BD243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text>
    </comment>
    <comment ref="Y1" authorId="24" shapeId="0" xr:uid="{1A2ACEFF-E713-463A-9D5B-54184A4CD29D}">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без НДС - закупка
Автоматически заполняемый столбец
</t>
      </text>
    </comment>
    <comment ref="Z1" authorId="25" shapeId="0" xr:uid="{A2183C8D-B3AF-4976-97A5-50EF84A0A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с НДС - закупка
Автоматически заполняемый столбец</t>
      </text>
    </comment>
    <comment ref="AA1" authorId="26" shapeId="0" xr:uid="{6339678F-4C5D-4328-BE94-531FC243752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Идентификатор спецификации поставщика/дистрибьютера, на основе которой сформирована цена позиции. Из справочника ТКП поставщиков</t>
      </text>
    </comment>
    <comment ref="AB1" authorId="27" shapeId="0" xr:uid="{9A7C07C3-6A21-4EE8-BEF0-B48F9D85045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внутренний - ТОЛЬКО ДЛЯ ВНУТРЕННЕГО СЛУЖЕБНОГО ПОЛЬЗОВАНИЯ. Полезная, дополнительная информация по позиции в свободной форме</t>
      </text>
    </comment>
    <comment ref="AC1" authorId="28" shapeId="0" xr:uid="{0FD87E57-4A0E-4B18-B9A5-14EFBAEA036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 ref="AD1" authorId="29" shapeId="0" xr:uid="{FC3D7DDB-A80F-4FFB-9267-3E86088C30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Зарезервирована для будущих изменений в методиках расчета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НДС по позиции - реализация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(реализация) стоимость С НДС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открытый - для заказчика, полезная информация по позиции в свободной форме</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<sst xmlns="http://schemas.openxmlformats.org/spreadsheetml/2006/main" count="2086" uniqueCount="706">
  <si>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</si>
  <si>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</si>
  <si>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</si>
  <si>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</si>
  <si>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</si>
  <si>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</si>
  <si>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</si>
  <si>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</si>
  <si>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</si>
  <si>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</si>
  <si>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</si>
  <si>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</si>
  <si>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</si>
  <si>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</si>
  <si>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</si>
  <si>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</si>
  <si>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</si>
  <si>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</si>
  <si>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</si>
  <si>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</si>
  <si>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</si>
  <si>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</si>
  <si>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</si>
  <si>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</si>
  <si>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</si>
  <si>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</si>
  <si>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URL PRODUCT</t>
  </si>
  <si>
    <t>IMAGE PRODUCT</t>
  </si>
  <si>
    <t>1/2024-N4-ГОРИЗОНТ</t>
  </si>
  <si>
    <t xml:space="preserve">Комплект активного сетевого оборудования </t>
  </si>
  <si>
    <t>true</t>
  </si>
  <si>
    <t>Коммутатор L3, OS3228</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</si>
  <si>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23,2 Вт
Количество блоков питания: 1 шт
Размеры (Д x Ш x В): 441 x 207 x 44 мм
Вес: 2,74 кг</t>
  </si>
  <si>
    <t>ORIGO</t>
  </si>
  <si>
    <t>OCS</t>
  </si>
  <si>
    <t>1000714105</t>
  </si>
  <si>
    <t>шт</t>
  </si>
  <si>
    <t>Коммутатор полевого уровня/ 
Дополнительная закупка - резервного оборудования по итогам совещания с Заказчиком</t>
  </si>
  <si>
    <t>Комплект модулей для активного сетевого оборудования</t>
  </si>
  <si>
    <t>false</t>
  </si>
  <si>
    <t>DEM-432XT</t>
  </si>
  <si>
    <t>Десятигигабитный оптический SFP+ трансивер
Интерфейсы: 1 порт 10GBase-LR
Форм-фактор: SFP+
Разъем: дуплексный LC
Режим работы: однонаправленный
Тип кабеля: одномодовый
Стандарт: IEEE 802.3ae 10GBase-LR
Расстояние передачи данных: 10 км
Скорость передачи данных: 10 Гбит/с
Выходная оптическая мощность (Tx):макс 0.5 дБм, мин -8  дБм
Входная оптическая мощность (Rx): макс -1  дБм, мин -14.4 дБм
Чувствительность: -14.4 дБм
Температура рабочая:  0 - 70 °C</t>
  </si>
  <si>
    <t>D-Link</t>
  </si>
  <si>
    <t>ДССЛ</t>
  </si>
  <si>
    <t>32109</t>
  </si>
  <si>
    <t>Модули предназначены для обеспечения стендового оборудования (в виде 2-х коммутаторов ORIGO)
ВНИМАНИЕ: данная позиция не переноситтся в отгрузучную спецификацию. Комплект стендового оборудования</t>
  </si>
  <si>
    <t>Модуль SFP с интерфейсом RJ45, до 100м</t>
  </si>
  <si>
    <t>Модуль SFP с интерфейсом RJ45, до 100м
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</si>
  <si>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SNR</t>
  </si>
  <si>
    <t>НАГ</t>
  </si>
  <si>
    <t>SNR-SFP-T</t>
  </si>
  <si>
    <t>ВНИМАНИЕ: позиция была закуплена ранее вне данной спецификации, поэтому данная позиция не требует закупки по текущей спецификации !</t>
  </si>
  <si>
    <t xml:space="preserve">Комплект пассивного сетевого оборудования </t>
  </si>
  <si>
    <t>Патч-корд оптический LC-LC-SM duplex</t>
  </si>
  <si>
    <t>Патч-корд оптический LC-LC-SM duplex
Тип коннектора 1: LC
Тип коннектора 2: LC
Кабель: одномодовый
Длина: 3 метра</t>
  </si>
  <si>
    <t>Cabeus</t>
  </si>
  <si>
    <t>ОнЛайн Трейд</t>
  </si>
  <si>
    <t>3614958</t>
  </si>
  <si>
    <t>Патч корд предназначен для соединений ядрового коммутатора с патч панелью стойки с ПТК. Также предназначен для проведения тестовых нагузочных испытаний подключение полевых коммутаторов.
ВНИМАНИЕ: в отгрузочную спецификацию переносится 14 шт ТМЦ, остальное ЗИП и отладочный комплект</t>
  </si>
  <si>
    <t>Патч-корд RG45 cat 6, 3 м красный</t>
  </si>
  <si>
    <t>Патч-корд RG45 cat 6 
Длина: 3 м 
Цвет: красный</t>
  </si>
  <si>
    <t>Lanmaster</t>
  </si>
  <si>
    <t>2329851</t>
  </si>
  <si>
    <t>Патч корд предназначен для межблочной коммутации в стойке ПТК</t>
  </si>
  <si>
    <t>Патч-корд RG45 cat 6, 3 м желтый</t>
  </si>
  <si>
    <t>Патч-корд RG45 cat 6 
Длина: 3 м 
Цвет: желтый</t>
  </si>
  <si>
    <t>2329849</t>
  </si>
  <si>
    <t>Патч-корд RG45 cat 6, 3 м синий</t>
  </si>
  <si>
    <t>Патч-корд RG45 cat 6 
Длина: 3 м 
Цвет: синий</t>
  </si>
  <si>
    <t>2329960</t>
  </si>
  <si>
    <t>Комплект пассивного сетевого оборудования</t>
  </si>
  <si>
    <t xml:space="preserve">Оптический кросс 19" 1U 16 портов  </t>
  </si>
  <si>
    <t xml:space="preserve">Оптический кросс 19" 1U 16 портов
Тип портов: FC
</t>
  </si>
  <si>
    <t>SNR-ODF-24R-16FC-P-BK</t>
  </si>
  <si>
    <t>Установка в серверную стойку с ПТК</t>
  </si>
  <si>
    <t>Комплект активного сетевого оборудования с монтажным комплектом</t>
  </si>
  <si>
    <t>Комплект промышленного гибридного коммутатора L2, слоты SFP-слота, РоЕ+,  оптический кросс на 32, шкаф IP67</t>
  </si>
  <si>
    <t>Шкаф с оптическим кроссом и встроенным коммутатором уличный, неуправляемый, 2 SFP-слота, РоЕ+
Два SFP-слота / Встроенный оптический кросс РоЕ+  802.3at (60W) на всех портах
Диапазон рабочих температур: -60 °С ... 50 °С
Класс защиты IP: IP66
Материал корпуса: пластик
Масса: 3.6 кг
Исполнение: неуправляемый
Порты PoE: количество портов 4 шт, до 60 Вт на порт
Порты SFP: количество портов 2 шт, стандарт SFP
Габаритные размеры: ДxШxВ 360 мм x 240 мм x 120 мм
Питание: AC, 230 В, 200 Вт
Пропускная способность: 4.8 Гбит/с</t>
  </si>
  <si>
    <t>TFortis</t>
  </si>
  <si>
    <t>ЛУИС+ Самара</t>
  </si>
  <si>
    <t>479915</t>
  </si>
  <si>
    <t>Шкаф с оптической патч панелью и коммутатором размещается на установке для развязки и подключения бронированных кабелей от полевых коммутаторов и кабелей до серверной стойки с ПТК
Получен счет Луис+</t>
  </si>
  <si>
    <t>Сетевая карта NVidia/Mellanox, с лицензиями поддержки служб DPDK</t>
  </si>
  <si>
    <t>Сетевая карта
Количество портов: 2
Чипсет: Mellanox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PCIe 3.0</t>
  </si>
  <si>
    <t>NVIDIA</t>
  </si>
  <si>
    <t>Компенсация замены LR-Link га NVidia</t>
  </si>
  <si>
    <t>Патч-корд оптический FC-LC-SM duplex</t>
  </si>
  <si>
    <t>Патч-корд оптический FC-LC-SM duplex
Тип коннектора 1: FC
Тип коннектора 2: LC
Кабель: одномодовый
Длина: 3 метра</t>
  </si>
  <si>
    <t>noname</t>
  </si>
  <si>
    <t>Патч корд предназначен для соединений ядрового коммутатора с оптическим кроссом стойки с ПТК.
ВНИМАНИЕ: в отгрузочную спецификацию переносится 14 шт ТМЦ, остальное ЗИП и отладочный комплект</t>
  </si>
  <si>
    <t>1/2024-N3-ГОРИЗОНТ</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</si>
  <si>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Количество блоков питания: 1 шт
Размеры (Д x Ш x В): 441 x 207 x 44 мм
Вес: 2,74 кг</t>
  </si>
  <si>
    <t>Коммутаторы полевого уровня, обслуживающие датчики измерительной  установки 1D, 2D и др.
P/N: OS3228/A1A</t>
  </si>
  <si>
    <t>Коммутатор Huawei S6730-H48X6C</t>
  </si>
  <si>
    <t>Управляемый L3 коммутатор
48 10GBase-X SFP+ портов
6 40/100GBase-X QSFP28 портов
L2 функционал
Поддержка стекирования: Да
Количество VLAN: 4096
Размер таблицы MAC адресов: 384000
Протоколы L2 резервирования: SEP; ERPS; MSTP; RSTP; STP
Multicast IGMP: v1/v2/v3, PIM-SM, PIM-DM и PIM-SSM
QoS WRED
L3 функционал
Размер таблицы маршрутизации: 256000
Протоколы маршрутизации: Static route; PIM; IS-IS; BGP; OSPF; RIP
Поддержка MPLS: Да
Питание
Напряжение питания: 100-240 VAC
Мощность блоков питания: 600W
Количество блоков питания: 2 шт
Максимальная потребляемая мощность: 274 Вт
Размеры (Ш × Г × В): 442 х 420 х 43,6 мм
Вес: 7.5 кг</t>
  </si>
  <si>
    <t>S6730-H48X6C</t>
  </si>
  <si>
    <t>Коммутатор уровня ядра. Задача агрегация всего трафика окак от полевого уровня так и от точек взаимодействия с коммутатционном оборудовании заказчика.
Код товара: 41037</t>
  </si>
  <si>
    <t>Сетевая карта LR-Link OCP 3.0 2 порта 100G QSFP28 LRES3026PF-OCP</t>
  </si>
  <si>
    <t>Сетевая карта
Количество портов: 2
Чипсет: Intel E810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OCP 3.0</t>
  </si>
  <si>
    <t>LRES3026PF-OCP</t>
  </si>
  <si>
    <t>Серверная сетевая карта, количество интерфейсов - 2,  скорость модулей - 100Gb. Предназначена для установки во все сервера ПТК, проектом предполагается задействовать оба интерфейса.</t>
  </si>
  <si>
    <t>Модуль 100G QSFP28 AOC, дальность до 3м</t>
  </si>
  <si>
    <t>Тип модуля: AOC
Скорость модуля: 100Gbps
Тип оптического волокна: MMF
Длина волны Tx, нм: 850
Форм-фактор модуля: модули QSFP28
Максимальное расстояние, км: 0,003</t>
  </si>
  <si>
    <t>SNR-QSFP28-AOC-3</t>
  </si>
  <si>
    <t>Активный патч корд для соединения серверов ПТК и ядрового коммутатора. Скорость соединения 100Gb.
Один патч-корд резервный, в работе предполагается 6 шт.
Код товара: 19411</t>
  </si>
  <si>
    <t>Модуль SFP LX 20км (14dB)</t>
  </si>
  <si>
    <t>Тип модуля: двухволоконный
Скорость модуля: 1Gbps
Тип оптического волокна: SMF
Длина волны Tx, нм: 1310
Длина волны Rx, нм: 1310
Оптический бюджет, дБ: 14
Мощность излучения, дБм: от -8 до -3
Чувствительность приемника, дБм: -22
Максимально допустимый уровень, дБм: -3
Форм-фактор модуля: модули SFP
Тип коннектора модуля: LC
Максимальное расстояние, км: 20
Расстояние передачи (диапазон), км: 10-20</t>
  </si>
  <si>
    <t>SNR-SFP-LX-20</t>
  </si>
  <si>
    <t>Модуль SFP с скоростью передачи 1Gb, тип оптики одномод. Предназначен для подключения вспомагательного оборудования от заказчика.
Код товара: 00537</t>
  </si>
  <si>
    <t>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</si>
  <si>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Модуль SFP с скоростью передачи 1Gb, тип интерфейса RG45. Предназначен для подключения вспомагательного оборудования такого как ИБП, операторские рабочие места и оборудования от заказчика.
Код товара: 02132</t>
  </si>
  <si>
    <t>Модуль SFP+ оптический, дальность до 2км (9dB), 1310нм</t>
  </si>
  <si>
    <t>Тип модуля: двухволоконный
Скорость модуля: 10Gbps
Тип оптического волокна: SMF
Длина волны Tx, нм: 1310
Длина волны Rx, нм: 1310
Оптический бюджет, дБ: 9
Мощность излучения, дБм: -5
Чувствительность приемника, дБм: -14
Максимально допустимый уровень, дБм: 0,5
Форм-фактор модуля: модули SFP+
Тип коннектора модуля: LC
Максимальное расстояние, км: 2
Расстояние передачи (диапазон): км
Расстояние передачи (диапазон) км: 1-10</t>
  </si>
  <si>
    <t>SNR-SFP+LR-2</t>
  </si>
  <si>
    <t>Модуль SFP+ с скоростью передачи 10Gb, тип оптики одномод. Предназначен для подключения коммутаторов полевого уровня Origo.
Два модуля резервные, в работе предполагается 24 шт. Расчет следующий: 3 коммутатора Origo по 4 порта 10Gb т.е. 12 шт, а также на прнимающей сторон коммутатора Huawei также 12 шт, итоге 24 шт.
Код товара: 02132</t>
  </si>
  <si>
    <t>1/2024-N2-ГОРИЗОНТ</t>
  </si>
  <si>
    <t xml:space="preserve">Комплект серверного оборудования для формирования ПТК </t>
  </si>
  <si>
    <t>Сервер Gigabyte двухсокетный Application, 2U</t>
  </si>
  <si>
    <t>Сервер Gigabyte R282-N81 2U 2*Xeon Gold 6338 (2.00-
3.20GHz/48MB/32c/64t) 8*16GB 2*NVMe960GB
VROCSTANMOD 18x2,5''SATA/SAS
8x2,5''SATA/SAS/NVMe 2*1GE 2*1600W Rails</t>
  </si>
  <si>
    <t>Gigabyte</t>
  </si>
  <si>
    <t>Киберкуб</t>
  </si>
  <si>
    <t>Сервер двухсокетный 2U, основа ПТК application уровня. Данные сервера предназначены для обеспечения ПО работающее с измерительными датчиками 1D и 2D.</t>
  </si>
  <si>
    <t>Сервер Gigabyte двухсокетный DBMS, 2U</t>
  </si>
  <si>
    <t>Сервер Gigabyte R282-N81 2U 2*Xeon Gold 6338 (2.00-
3.20GHz/48MB/32c/64t) 16x16GB 2*NVMe3.84TB
VROCSTANMOD 2*SSD960GB 6*SSD7.64TB LSI9361-8I
w/batt SASRAID0-6 18x2,5''SATA/SAS
8x2,5''SATA/SAS/NVMe 2*1GE 2*1600W Rails</t>
  </si>
  <si>
    <t>Сервер двухсокетный 2U, основа ПТК уровня DBM, NAS, координатор кластера виртуализации.</t>
  </si>
  <si>
    <t>1/2024-N5-ГОРИЗОНТ</t>
  </si>
  <si>
    <t xml:space="preserve">Патч корд предназначен для соединений ядрового коммутатора с оптическим кроссом стойки с ПТК.
</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</si>
  <si>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</si>
  <si>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</si>
  <si>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</si>
  <si>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</si>
  <si>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</si>
  <si>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</si>
  <si>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</si>
  <si>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</si>
  <si>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</si>
  <si>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</si>
  <si>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</si>
  <si>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</si>
  <si>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</si>
  <si>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Резервный коммутатор, в соответствии с договоренностью с заказчиком</t>
  </si>
  <si>
    <t>Модули для межблочной коммутации, для ядрового коммутатора</t>
  </si>
  <si>
    <t>Оптический патч-корд, для межблочной коммутации</t>
  </si>
  <si>
    <t>Медный патч-корд 6 категории, для межблочной коммутации</t>
  </si>
  <si>
    <t>Оптическая кросс панель для коммутации оптики полевого уровня</t>
  </si>
  <si>
    <t>Комплект предназначен для "сшития" гибкой оптики с магистральным каналом на серверную стойку и инжекции локальных вычислительных устройств в сеть ПТК</t>
  </si>
  <si>
    <t>4</t>
  </si>
  <si>
    <t>2.4</t>
  </si>
  <si>
    <t>1/2024-n4-горизонт-ver_3-set_2.4-true</t>
  </si>
  <si>
    <t>4.5</t>
  </si>
  <si>
    <t>1/2024-n4-горизонт-ver_3-set_4.5-false</t>
  </si>
  <si>
    <t>4.6</t>
  </si>
  <si>
    <t>1/2024-n4-горизонт-ver_3-set_4.6-true</t>
  </si>
  <si>
    <t>3.1</t>
  </si>
  <si>
    <t>1/2024-n4-горизонт-ver_3-set_3.1-true</t>
  </si>
  <si>
    <t>3.2</t>
  </si>
  <si>
    <t>1/2024-n4-горизонт-ver_3-set_3.2-true</t>
  </si>
  <si>
    <t>3.3</t>
  </si>
  <si>
    <t>1/2024-n4-горизонт-ver_3-set_3.3-true</t>
  </si>
  <si>
    <t>3.4</t>
  </si>
  <si>
    <t>1/2024-n4-горизонт-ver_3-set_3.4-true</t>
  </si>
  <si>
    <t>3.5</t>
  </si>
  <si>
    <t>1/2024-n4-горизонт-ver_3-set_3.5-true</t>
  </si>
  <si>
    <t>5.1</t>
  </si>
  <si>
    <t>1/2024-n4-горизонт-ver_3-set_5.1-true</t>
  </si>
  <si>
    <t>2.5</t>
  </si>
  <si>
    <t>1/2024-n4-горизонт-ver_3-set_2.5-false</t>
  </si>
  <si>
    <t>3.6</t>
  </si>
  <si>
    <t>1/2024-n4-горизонт-ver_3-set_3.6-true</t>
  </si>
  <si>
    <t>3</t>
  </si>
  <si>
    <t>2.1</t>
  </si>
  <si>
    <t>1/2024-n3-горизонт-ver_1-set_2.1-true</t>
  </si>
  <si>
    <t>2.2</t>
  </si>
  <si>
    <t>1/2024-n3-горизонт-ver_1-set_2.2-true</t>
  </si>
  <si>
    <t>2.3</t>
  </si>
  <si>
    <t>1/2024-n3-горизонт-ver_1-set_2.3-true</t>
  </si>
  <si>
    <t>4.1</t>
  </si>
  <si>
    <t>1/2024-n3-горизонт-ver_1-set_4.1-true</t>
  </si>
  <si>
    <t>4.2</t>
  </si>
  <si>
    <t>1/2024-n3-горизонт-ver_1-set_4.2-true</t>
  </si>
  <si>
    <t>4.3</t>
  </si>
  <si>
    <t>1/2024-n3-горизонт-ver_1-set_4.3-true</t>
  </si>
  <si>
    <t>4.4</t>
  </si>
  <si>
    <t>1/2024-n3-горизонт-ver_1-set_4.4-true</t>
  </si>
  <si>
    <t>2</t>
  </si>
  <si>
    <t>1.1</t>
  </si>
  <si>
    <t>1/2024-n2-горизонт-ver_1-set_1.1-true</t>
  </si>
  <si>
    <t>1.2</t>
  </si>
  <si>
    <t>1/2024-n2-горизонт-ver_1-set_1.2-true</t>
  </si>
  <si>
    <t>6.1</t>
  </si>
  <si>
    <t>1/2024-n5-горизонт-ver_1-set_6.1-true</t>
  </si>
  <si>
    <t>5</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</si>
  <si>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</si>
  <si>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</si>
  <si>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</si>
  <si>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</si>
  <si>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</si>
  <si>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</si>
  <si>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</si>
  <si>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</si>
  <si>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</si>
  <si>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</si>
  <si>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</si>
  <si>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</si>
  <si>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</si>
  <si>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</si>
  <si>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</si>
  <si>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</si>
  <si>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</si>
  <si>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</si>
  <si>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</si>
  <si>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</si>
  <si>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</si>
  <si>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</si>
  <si>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</si>
  <si>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</si>
  <si>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</si>
  <si>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</si>
  <si>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</si>
  <si>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</si>
  <si>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</si>
  <si>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</si>
  <si>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</si>
  <si>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</si>
  <si>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</si>
  <si>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</si>
  <si>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</si>
  <si>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</si>
  <si>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</si>
  <si>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</si>
  <si>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</si>
  <si>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</si>
  <si>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</si>
  <si>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</si>
  <si>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</si>
  <si>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</si>
  <si>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</si>
  <si>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</si>
  <si>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</si>
  <si>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</si>
  <si>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</si>
  <si>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</si>
  <si>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</si>
  <si>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</si>
  <si>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</si>
  <si>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</si>
  <si>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</si>
  <si>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</si>
  <si>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</si>
  <si>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</si>
  <si>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</si>
  <si>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</si>
  <si>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</si>
  <si>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</si>
  <si>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</si>
  <si>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</si>
  <si>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</si>
  <si>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</si>
  <si>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</si>
  <si>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</si>
  <si>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</si>
  <si>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</si>
  <si>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</si>
  <si>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</si>
  <si>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</si>
  <si>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</si>
  <si>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</si>
  <si>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</si>
  <si>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</si>
  <si>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</si>
  <si>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</si>
  <si>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</si>
  <si>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</si>
  <si>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</si>
  <si>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</si>
  <si>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</si>
  <si>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</si>
  <si>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</si>
  <si>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</si>
  <si>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</si>
  <si>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</si>
  <si>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</si>
  <si>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</si>
  <si>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</si>
  <si>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</si>
  <si>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</si>
  <si>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</si>
  <si>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</si>
  <si>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</si>
  <si>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</si>
  <si>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</si>
  <si>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</si>
  <si>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</si>
  <si>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</si>
  <si>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</si>
  <si>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</si>
  <si>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</si>
  <si>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</si>
  <si>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</si>
  <si>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</si>
  <si>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</si>
  <si>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</si>
  <si>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</si>
  <si>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</si>
  <si>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</si>
  <si>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</si>
  <si>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</si>
  <si>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</si>
  <si>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</si>
  <si>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</si>
  <si>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</si>
  <si>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</si>
  <si>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</si>
  <si>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</si>
  <si>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</si>
  <si>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</si>
  <si>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</si>
  <si>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</si>
  <si>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</si>
  <si>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</si>
  <si>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</si>
  <si>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</si>
  <si>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</si>
  <si>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</si>
  <si>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</si>
  <si>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</si>
  <si>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</si>
  <si>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</si>
  <si>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</si>
  <si>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</si>
  <si>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</si>
  <si>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</si>
  <si>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</si>
  <si>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</si>
  <si>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</si>
  <si>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</si>
  <si>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</si>
  <si>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</si>
  <si>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</si>
  <si>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</si>
  <si>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</si>
  <si>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</si>
  <si>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</si>
  <si>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</si>
  <si>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</si>
  <si>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</si>
  <si>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</si>
  <si>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</si>
  <si>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</si>
  <si>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</si>
  <si>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</si>
  <si>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</si>
  <si>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</si>
  <si>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</si>
  <si>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</si>
  <si>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</si>
  <si>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</si>
  <si>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</si>
  <si>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</si>
  <si>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</si>
  <si>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</si>
  <si>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</si>
  <si>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</si>
  <si>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</si>
  <si>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</si>
  <si>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</si>
  <si>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</si>
  <si>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</si>
  <si>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</si>
  <si>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</si>
  <si>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</si>
  <si>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</si>
  <si>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</si>
  <si>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</si>
  <si>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</si>
  <si>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</si>
  <si>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</si>
  <si>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</si>
  <si>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</si>
  <si>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</si>
  <si>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</si>
  <si>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</si>
  <si>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</si>
  <si>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</si>
  <si>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</si>
  <si>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</si>
  <si>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</si>
  <si>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</si>
  <si>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</si>
  <si>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</si>
  <si>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</si>
  <si>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</si>
  <si>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</si>
  <si>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</si>
  <si>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</si>
  <si>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</si>
  <si>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</si>
  <si>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</si>
  <si>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</si>
  <si>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</si>
  <si>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</si>
  <si>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</si>
  <si>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</si>
  <si>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</si>
  <si>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</si>
  <si>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</si>
  <si>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</si>
  <si>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</si>
  <si>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</si>
  <si>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</si>
  <si>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</si>
  <si>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</si>
  <si>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</si>
  <si>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</si>
  <si>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</si>
  <si>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</si>
  <si>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</si>
  <si>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</si>
  <si>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</si>
  <si>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</si>
  <si>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</si>
  <si>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</si>
  <si>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</si>
  <si>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</si>
  <si>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</si>
  <si>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</si>
  <si>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</si>
  <si>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</si>
  <si>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</si>
  <si>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</si>
  <si>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</si>
  <si>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</si>
  <si>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</si>
  <si>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</si>
  <si>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</si>
  <si>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</si>
  <si>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</si>
  <si>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</si>
  <si>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</si>
  <si>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</si>
  <si>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</si>
  <si>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кп</t>
  </si>
  <si>
    <t>чел/час</t>
  </si>
  <si>
    <t>этап</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</si>
  <si>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</si>
  <si>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</si>
  <si>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</si>
  <si>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</si>
  <si>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</si>
  <si>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</si>
  <si>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</si>
  <si>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</si>
  <si>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</si>
  <si>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</si>
  <si>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</si>
  <si>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</si>
  <si>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</si>
  <si>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</si>
  <si>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</si>
  <si>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</si>
  <si>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</si>
  <si>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TabSpecificationWork_1</t>
  </si>
  <si>
    <t>№ п/п</t>
  </si>
  <si>
    <t>int</t>
  </si>
  <si>
    <t>[1, 300]</t>
  </si>
  <si>
    <t>Числовой</t>
  </si>
  <si>
    <t>center</t>
  </si>
  <si>
    <t>Уникальный порядковый номер позиции</t>
  </si>
  <si>
    <t>№ ИСХ</t>
  </si>
  <si>
    <t>Порядковый номер позиции из спецификации заказчика</t>
  </si>
  <si>
    <t>№ ПРОЕКТА</t>
  </si>
  <si>
    <t>text</t>
  </si>
  <si>
    <t>[13, 25]</t>
  </si>
  <si>
    <t>TabProjectList</t>
  </si>
  <si>
    <t>Текстовый</t>
  </si>
  <si>
    <t>Полный номер проекта из таблицы реестр проектов</t>
  </si>
  <si>
    <t>НОМЕР ЗАКАЗА ПРОЕКТА</t>
  </si>
  <si>
    <t>[1, 100]</t>
  </si>
  <si>
    <t>Номер заказа в рамках проекта. Автоматически вычисляется средствами Excel при выбранном номере проектав столбце 'NUM PROJECT'</t>
  </si>
  <si>
    <t>ВЕРСИЯ КОЛЛЕКЦИИ</t>
  </si>
  <si>
    <t>[1, 50]</t>
  </si>
  <si>
    <r>
      <t xml:space="preserve">Версия коллекции - число. Под </t>
    </r>
    <r>
      <rPr>
        <b/>
        <sz val="11"/>
        <color theme="1"/>
        <rFont val="Calibri"/>
        <family val="2"/>
        <charset val="204"/>
        <scheme val="minor"/>
      </rPr>
      <t>КОЛЛЕКЦИЕЙ</t>
    </r>
    <r>
      <rPr>
        <sz val="11"/>
        <color theme="1"/>
        <rFont val="Calibri"/>
        <family val="2"/>
        <charset val="204"/>
        <scheme val="minor"/>
      </rPr>
      <t xml:space="preserve"> понимается объект данных который описывает стока, она же одна запись датасета</t>
    </r>
  </si>
  <si>
    <t>ОПИСАНИЕ КОМПЛЕКТА</t>
  </si>
  <si>
    <t>[5, 300]</t>
  </si>
  <si>
    <t>up</t>
  </si>
  <si>
    <t>left</t>
  </si>
  <si>
    <t>Название комплекта</t>
  </si>
  <si>
    <t>ИДЕНТИФИКАТОР КОМПЛЕКТА</t>
  </si>
  <si>
    <t>Свободный (число или текст - латиницей) идентификатор комплекта</t>
  </si>
  <si>
    <t>ПОРЯДКОВЫЙ НОМЕР В КОМПЛЕКТЕ</t>
  </si>
  <si>
    <t>Порядковый номер позиции в комплекте</t>
  </si>
  <si>
    <t>ПОЛНЫЙ ИДЕНТИФИКАТОР КОЛЛЕКЦИИ</t>
  </si>
  <si>
    <t>[3, 5]</t>
  </si>
  <si>
    <t>Общий</t>
  </si>
  <si>
    <t>Полный порядковый номер позиции, состоящий из номер комплекта и номера порядкового в комплекте</t>
  </si>
  <si>
    <t>ПРИЗНАК ПОСТАВКИ ПОЗИЦИИ</t>
  </si>
  <si>
    <t>[4, 5]</t>
  </si>
  <si>
    <t>Признак поставки позиции в данном заказе</t>
  </si>
  <si>
    <t>ХЭШ КОЛЛЕКЦИИ</t>
  </si>
  <si>
    <t>[6, 10]</t>
  </si>
  <si>
    <t>Уникальное хэш значение, характеризуемое текущую коллекцию</t>
  </si>
  <si>
    <t>НАИМЕНОВАНИЕ</t>
  </si>
  <si>
    <t>[3, 300]</t>
  </si>
  <si>
    <t>Наименование позиции</t>
  </si>
  <si>
    <t>ОПИСАНИЕ/ХАРАКТЕРИСТИКИ</t>
  </si>
  <si>
    <t>[10, 1000]</t>
  </si>
  <si>
    <t>Технические характеристики позиции</t>
  </si>
  <si>
    <t>БРЕНД</t>
  </si>
  <si>
    <t>[3, 50]</t>
  </si>
  <si>
    <t>TableVendorAndBrand</t>
  </si>
  <si>
    <t>Название бренда производителя из справочника</t>
  </si>
  <si>
    <t>ПОСТАВЩИК</t>
  </si>
  <si>
    <t>TabSupplier</t>
  </si>
  <si>
    <t>Название поставщика из справочника</t>
  </si>
  <si>
    <t>АРТИКУЛ ПОСТАВЩИК</t>
  </si>
  <si>
    <t>Артикул поставщика</t>
  </si>
  <si>
    <t>АРТИКУЛ МАС</t>
  </si>
  <si>
    <t>[3, 15]</t>
  </si>
  <si>
    <t>Артикул МАС</t>
  </si>
  <si>
    <t>ЕД ИЗМ</t>
  </si>
  <si>
    <t>[0, 2]</t>
  </si>
  <si>
    <t>TabUnits</t>
  </si>
  <si>
    <t>Единицы измерения из справочника</t>
  </si>
  <si>
    <t>КОЛИЧЕСТВО В КОМПЛЕКТЕ</t>
  </si>
  <si>
    <t>Количество единиц данной позиции в комплекте</t>
  </si>
  <si>
    <t>КОМПЛЕКТОВ В ПОСТАВКЕ</t>
  </si>
  <si>
    <t>Количество комплектов в поставке</t>
  </si>
  <si>
    <t>КОЛИЧЕСТВО ИТОГО</t>
  </si>
  <si>
    <t>Итоговое количество по данной позиции в поставке</t>
  </si>
  <si>
    <t>КОЛИЧЕСТВО У ПОСТАВ-КА</t>
  </si>
  <si>
    <t>[0, 999]</t>
  </si>
  <si>
    <t>Количество в наличии у поставщика</t>
  </si>
  <si>
    <t>float</t>
  </si>
  <si>
    <t>down</t>
  </si>
  <si>
    <t>right</t>
  </si>
  <si>
    <t>Цена за единицу - закупка</t>
  </si>
  <si>
    <t>[1, 5000000]</t>
  </si>
  <si>
    <t>ТКП ПОСТАВЩИКА</t>
  </si>
  <si>
    <t>[7, 1000]</t>
  </si>
  <si>
    <t>TabTCPSupplier</t>
  </si>
  <si>
    <t>Идентификатор спецификации поставщика/дистрибьютера, на основе которой сформирована цена позиции. Из справочника ТКП поставщиков</t>
  </si>
  <si>
    <t>ПРИМЕЧАНИЕ РАБОЧЕЕ</t>
  </si>
  <si>
    <t>[7, 3000]</t>
  </si>
  <si>
    <t>Комментарии внутренний - ТОЛЬКО ДЛЯ ВНУТРЕННЕГО СЛУЖЕБНОГО ПОЛЬЗОВАНИЯ. Полезная, дополнительная информация по позиции в свободной форме</t>
  </si>
  <si>
    <t>ССЫЛКА НА ПРОДУКТ</t>
  </si>
  <si>
    <t>Прямая ссылка на позицию на сайте производителя/поставщика</t>
  </si>
  <si>
    <t>ИЗОБРАЖЕНИЕ ТМЦ</t>
  </si>
  <si>
    <t>Ссылка на изображение</t>
  </si>
  <si>
    <t>TabSpecificationWork_2</t>
  </si>
  <si>
    <t>КОЭФФИЦИЕНТ НАЦЕНКИ</t>
  </si>
  <si>
    <t>[1, 10]</t>
  </si>
  <si>
    <t>Коэффициент наценки</t>
  </si>
  <si>
    <t>ЦЕНА ЗА ЕД. $РЕАЛИЗАЦИЯ</t>
  </si>
  <si>
    <t>Цена за единицу - реализация</t>
  </si>
  <si>
    <t>СТОИМОСТЬ $РЕАЛИЗАЦИЯ</t>
  </si>
  <si>
    <t>Стоимость - реализация</t>
  </si>
  <si>
    <t>СКИДКА %</t>
  </si>
  <si>
    <t>[0, 70]</t>
  </si>
  <si>
    <t>Скидка в процентах</t>
  </si>
  <si>
    <t>СКИДКА В РУБЛЯХ</t>
  </si>
  <si>
    <t>Скидка в рублях</t>
  </si>
  <si>
    <t>СПЕЦИФИЧЕСКИЙ РАСЧЕТ СТОИМОСТИ</t>
  </si>
  <si>
    <t>[0, 300]</t>
  </si>
  <si>
    <t>Колонка зарезервирована для будущих изменений в методиках рассчета цены/стоимости</t>
  </si>
  <si>
    <t>ЦЕНА ЗА ЕД. $ИТОГ</t>
  </si>
  <si>
    <t>Итоговая цена по позиции - реализация</t>
  </si>
  <si>
    <t>СТОИМОСТЬ $ИТОГ</t>
  </si>
  <si>
    <t>[1, 10000000]</t>
  </si>
  <si>
    <t>Итоговая стоимость по позиции - реализация</t>
  </si>
  <si>
    <t>ДЛИТЕЛЬНОСТЬ РЕАЛИЗАЦИИ $ИТОГ</t>
  </si>
  <si>
    <t>Длительность в календарных днях реализации товара или услуги</t>
  </si>
  <si>
    <t>ПРИЗНАК ПОЗИЦИИ В ПОСТАВКЕ</t>
  </si>
  <si>
    <t>Признак закупки позиции в данном заказе</t>
  </si>
  <si>
    <t>ПРИЗНАК ПОСТ ОБРАБОТКИ</t>
  </si>
  <si>
    <t xml:space="preserve">Признак  пост-модификации коммерческих данных данной коллекции </t>
  </si>
  <si>
    <t>ПРИМЕЧАНИЕ ЗАКАЗЧИК</t>
  </si>
  <si>
    <t>[0, 3000]</t>
  </si>
  <si>
    <t>Комментарии, открытый - для заказчика, полезная информация по позиции в свободной форме</t>
  </si>
  <si>
    <t>IDconfig</t>
  </si>
  <si>
    <t>CONFIG_JSON</t>
  </si>
  <si>
    <t>Convert_TabSpecificationWork_21_1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</si>
  <si>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"BRAND",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</si>
  <si>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"TabSpecificationWork_1"</t>
  </si>
  <si>
    <t>Convert_TabSpecificationWork_21_2</t>
  </si>
  <si>
    <t>{
    "TabSpecificationWork": {
        "1": {
                "RenameColumn": [
                        {"КОЭФФИЦИЕНТ НАЦЕНКИ":"COEFFICIENT MARKUP"},
                        {"ЦЕНА ЗА ЕД. $РЕАЛИЗАЦИЯ":"PRICE UNIT $SALE"},
                        {"СТОИМОСТЬ $РЕАЛИЗАЦИЯ":"COST DEAL $SALE"},
                        {"ЦЕНА ЗА ЕД. $ИТОГ":"PRICE UNIT $TOTAL"},
                        {"СТОИМОСТЬ $ИТОГ":"COST $TOTAL"}
                ]
        },
        "2": {
                "InsertColumn": [
                        "HASH COLLECTION",
                        "DISCOUNT PERCENT",
                        "DISCOUNT MONEY",
                        "FORMULA SPECIFIC COST",
                        "DURATION SALE $TOTAL",
                        "isSUPPLIED",
                        "isPROCESSING",
                        "COMMENT CUSTOMER"
                ]
        },
        "3": {
                "ReorderColumn": [
                        "HASH COLLECTION",
                        "COEFFICIENT MARKUP",
                        "PRICE UNIT $SALE",
                        "COST DEAL $SALE",
                        "DISCOUNT PERCENT",
                        "DISCOUNT MONEY",
                        "FORMULA SPECIFIC COST",
                        "PRICE UNIT $TOTAL",
                        "COST $TOTAL",
                        "DURATION SALE $TOTAL",
                        "isSUPPLIED",
                        "isPROCESSING",
                        "COMMENT CUSTOMER"
                ]
        },
        "4": {
                "RemoveXorColumn": [
                        "HASH COLLECTION",
                        "COEFFICIENT MARKUP",
                        "PRICE UNIT $SALE",
                        "COST DEAL $SALE",
                        "DISCOUNT PERCENT",
                        "DISCOUNT MONEY",
                        "FORMULA SPECIFIC COST",
                        "PRICE UNIT $TOTAL",
                        "COST $TOTAL",
                        "DURATION SALE $TOTAL",
                        "isSUPPLIED",
                        "isPROCESSING",
                        "COMMENT CUSTOMER"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</si>
  <si>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"TabSpecificationWork_2"</t>
  </si>
  <si>
    <t>Convert_TabSpecificationWork_20_1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</si>
  <si>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{"БРЕНД":                        "BRAND"},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</si>
  <si>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"TabSpecificationWork_1"</t>
  </si>
  <si>
    <t>Convert_TabSpecificationWork_20_2</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</si>
  <si>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"TabSpecificationWork_2"</t>
  </si>
  <si>
    <t>JOIN_rev22_rev21</t>
  </si>
  <si>
    <t>{
        "TabSpecificationWork_1": {
                "1": {
                        "RunJOINdata": []
                }
        },
        "TabSpecificationWork_211": {
                "1": {}
        },
        "TabSpecificationWork_201": {
                "1": {}
        }
}</t>
  </si>
  <si>
    <t>Конфигурация объединения данных (не таблиц !) двух таблиц. Таблицы "TabSpecificationWork_1" из файла спецификации rev22 и таблицы "TabSpecificationWork_211" rev21</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</si>
  <si>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</si>
  <si>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</si>
  <si>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</si>
  <si>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</si>
  <si>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</si>
  <si>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</si>
  <si>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</si>
  <si>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</si>
  <si>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</si>
  <si>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</si>
  <si>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</si>
  <si>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</si>
  <si>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6.3</t>
  </si>
  <si>
    <t>1/2026-N1-МАС</t>
  </si>
  <si>
    <t>1/2026-N1-ГОРИЗОНТ</t>
  </si>
  <si>
    <t>1/2024-n5-горизонт-ver_1-set_6.3-true</t>
  </si>
  <si>
    <t>Серверная сетевая карта, количество интерфейсов - 2,  скорость модулей - 100Gb. Используется для организации работы генератора DPDK на стенде</t>
  </si>
  <si>
    <t>VAT ADD PRICE $PURCHASE</t>
  </si>
  <si>
    <t>VAT RATE CONTRACTOR $TOTAL</t>
  </si>
  <si>
    <t>VAT ADD PRICE UNIT $TOTAL</t>
  </si>
  <si>
    <t>PRICE VAT UNIT $TOTAL</t>
  </si>
  <si>
    <t>COST ADD VAT $TOTAL</t>
  </si>
  <si>
    <t>COST VAT $TOTAL</t>
  </si>
  <si>
    <t>[0, 2000000]</t>
  </si>
  <si>
    <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</si>
  <si>
    <t>Ставка НДС исполнителя (0.22 для ГОРИЗОНТ; 0.00 для МАС/ИП)</t>
  </si>
  <si>
    <t>СТАВКА НДС, ИСПОЛНИТЕЛЯ</t>
  </si>
  <si>
    <t>[0, 22]</t>
  </si>
  <si>
    <t>[1, 25000000]</t>
  </si>
  <si>
    <t>[1, 240]</t>
  </si>
  <si>
    <t>[1, 500000]</t>
  </si>
  <si>
    <t>НДС, ДОПОЛНИТЕЛЬНО К ЦЕНЕ $ИТОГ</t>
  </si>
  <si>
    <t>Исходящий НДС на ед. - реализация</t>
  </si>
  <si>
    <t>ЦЕНА ЗА ЕД., С НДС $ИТОГ</t>
  </si>
  <si>
    <t>Цена с НДС за ед. - реализация</t>
  </si>
  <si>
    <t>НДС, ДОПОЛНИТЕЛЬНО К СТОИМОСТИ $ИТОГ</t>
  </si>
  <si>
    <t>СТОИМОСТЬ, С НДС $ИТОГ</t>
  </si>
  <si>
    <t>Стоимость с НДС - реализация</t>
  </si>
  <si>
    <t>1</t>
  </si>
  <si>
    <t/>
  </si>
  <si>
    <t>8/2026-N1-ГОРИЗОНТ</t>
  </si>
  <si>
    <t>Инжиниринг проектный - КР</t>
  </si>
  <si>
    <t>Проектирование модуля размещения электронных компонентов ПТК</t>
  </si>
  <si>
    <t>Проектирование узла коммутации сети ~230 В</t>
  </si>
  <si>
    <t>Проектирование металлоконструкции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</si>
  <si>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интегрированного узла крепления LCD touch дисплея, хаба АСУ ВУ, RFID и QR считывателя</t>
  </si>
  <si>
    <t>Проектирование металлоконструкции модуля, предназначенного для создания интегрированного узла крепления HMI компонентов - LCD touch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</si>
  <si>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Разработка эскизов общего вида Изделия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</si>
  <si>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КД.
 Результатом работ по этапу является:
 - комплект КД.</t>
  </si>
  <si>
    <t>Проектирование транспортировочной тары</t>
  </si>
  <si>
    <t>Разработка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с инструкцией для производства тары.</t>
  </si>
  <si>
    <t>6</t>
  </si>
  <si>
    <t>Проектирование кронштейна и бокса  для внешнего размещения HMI - LCD touch дисплея, хаба АСУ ВУ, RFID и QR считывателя</t>
  </si>
  <si>
    <t>Проектирование кронштейна и бокса, предназначенного для внешнего размещения HMI компонентов - LCD touch дисплея, хаба АСУ ВУ, RFID и QR считывателя. Данный модуль предназначен для всех моделей вендинговых аппаратов у которых невозможно или нежелательно внутренее, интегрированное размещение HMI. Состав работ:
- анализ существующего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кронштейна и бокса.</t>
  </si>
  <si>
    <t>7</t>
  </si>
  <si>
    <t>Проведение конструкторской и технологической оценки переноса (изменение) точек крепления колес</t>
  </si>
  <si>
    <t>8</t>
  </si>
  <si>
    <t>Проектирование кронштейна  камер видеонаблюдения</t>
  </si>
  <si>
    <t>Проектирование 2-х моделей кронштейна крепления IP камер 1-го типа (видеофиксация выдачи ТМЦ)  2-го типа (свободный мониторинг).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кронштейнов.</t>
  </si>
  <si>
    <t>9</t>
  </si>
  <si>
    <t>Проектирование двери спиральной секции т 2-х приемников ТМЦ</t>
  </si>
  <si>
    <t>Проектирование металлоконструкции Двери №1 (дверь доступа к спиральной секции), с учетом удаления лифта и статического крепления 2-х корзин выдачи ТМЦ.
Состав работ:
- анализ конструкции существующей двер и узлов лифта;
- анализ существующих сенсоров и актуаторов Двери №1;
- разработка 3D проекта;
- разработка комплекта КД.
 Результатом работ по этапу является:
 - комплект КД для изготовления двери и корзин лифта.</t>
  </si>
  <si>
    <t>5/2026-N1-ГОРИЗОНТ</t>
  </si>
  <si>
    <t>4/2026-N1-ГОРИЗОНТ</t>
  </si>
  <si>
    <t>Марви</t>
  </si>
  <si>
    <t>6/2023-N0-МАС</t>
  </si>
  <si>
    <t>6/2023-N3-МАС</t>
  </si>
  <si>
    <t>6/2023-N4-МАС</t>
  </si>
  <si>
    <t>29/2024-N2-МАС</t>
  </si>
  <si>
    <t>29/2024-N3-МАС</t>
  </si>
  <si>
    <t>2/2025-N0-МАС</t>
  </si>
  <si>
    <t>2/2025-N1-МАС</t>
  </si>
  <si>
    <t>2/2025-N2-МАС</t>
  </si>
  <si>
    <t>6/2024-N0-МАС</t>
  </si>
  <si>
    <t>6/2024-N2-МАС</t>
  </si>
  <si>
    <t>21/2025-N3-МАС</t>
  </si>
  <si>
    <t>21/2025-N4-МАС</t>
  </si>
  <si>
    <t>21/2025-N5-МАС</t>
  </si>
  <si>
    <t>21/2025-N6-МАС</t>
  </si>
  <si>
    <t>21/2025-N7-МАС</t>
  </si>
  <si>
    <t>21/2025-N8-МАС</t>
  </si>
  <si>
    <t>25/2025-N4-МАС</t>
  </si>
  <si>
    <t>25/2025-N5-МАС</t>
  </si>
  <si>
    <t>25/2025-N6-МАС</t>
  </si>
  <si>
    <t>29/2024-N4-МАС</t>
  </si>
  <si>
    <t>2/2026-N1-МАС</t>
  </si>
  <si>
    <t>5/2024-N4-МАС</t>
  </si>
  <si>
    <t>27/2025-N2-МАС</t>
  </si>
  <si>
    <t>29/2024-N5-МАС</t>
  </si>
  <si>
    <t>27/2025-N3-МАС</t>
  </si>
  <si>
    <t>27/2025-N4-МАС</t>
  </si>
  <si>
    <t>12/2025-N2-МАС</t>
  </si>
  <si>
    <t>12/2025-N3-МАС</t>
  </si>
  <si>
    <t>12/2025-N4-МАС</t>
  </si>
  <si>
    <t>3/2026-N1-ГОРИЗОНТ</t>
  </si>
  <si>
    <t>Фонд содействия инновациям</t>
  </si>
  <si>
    <t>6/2026-N1-ГОРИЗОНТ</t>
  </si>
  <si>
    <t>7/2026-N1-ГОРИЗОНТ</t>
  </si>
  <si>
    <t>8/2026-N0-ГОРИЗОНТ</t>
  </si>
  <si>
    <t>8/2026-N2-ГОРИЗОНТ</t>
  </si>
  <si>
    <t>1/2026-N2-МАС</t>
  </si>
  <si>
    <t>СЕБЕСТОИМОСТЬ $ЗАКУПКА</t>
  </si>
  <si>
    <t>ВХОДЯЩИЙ НДС ЗА ЕД. $ЗАКУПКА</t>
  </si>
  <si>
    <t>ЦЕНА ЗА ЕД. $ЗАКУПКА</t>
  </si>
  <si>
    <t>СЕБЕСТОИМОСТЬ С НДС $ЗАКУПКА</t>
  </si>
  <si>
    <t>COST PRICE VAT $PURCHASE</t>
  </si>
  <si>
    <t>Себестоимость без НДС - закупка</t>
  </si>
  <si>
    <t>Себестоимость с НДС - закупка</t>
  </si>
  <si>
    <t>Итоговая НДС по позиции - реализация</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</si>
  <si>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о возможности проведения конструкторсских работ, с кратким описанием технологии решения задачи, а также оценкой стоимости и сроков выполнения работ.
</t>
  </si>
  <si>
    <t>Проектирование металлоконструкции модуля, предназначенного для размещения модулей электроники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</si>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</sst>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3"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sz val="11"/>
      <name val="Calibri"/>
      <family val="2"/>
      <charset val="20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diagonal/>
    </border>
    <border>
      <left style="dashed">
        <color auto="1"/>
      </left>
      <right style="dashed">
        <color auto="1"/>
      </right>
      <top/>
      <bottom style="dashed">
        <color auto="1"/>
      </bottom>
      <diagonal/>
    </border>
    <border>
      <left/>
      <right style="dashed">
        <color auto="1"/>
      </right>
      <top/>
      <bottom/>
      <diagonal/>
    </border>
    <border>
      <left style="dashed">
        <color auto="1"/>
      </left>
      <right style="hair">
        <color auto="1"/>
      </right>
      <top style="dashed">
        <color auto="1"/>
      </top>
      <bottom style="hair">
        <color auto="1"/>
      </bottom>
      <diagonal/>
    </border>
    <border>
      <left style="hair">
        <color auto="1"/>
      </left>
      <right style="hair">
        <color auto="1"/>
      </right>
      <top style="dashed">
        <color auto="1"/>
      </top>
      <bottom style="hair">
        <color auto="1"/>
      </bottom>
      <diagonal/>
    </border>
    <border>
      <left style="hair">
        <color auto="1"/>
      </left>
      <right style="dashed">
        <color auto="1"/>
      </right>
      <top style="dashed">
        <color auto="1"/>
      </top>
      <bottom style="hair">
        <color auto="1"/>
      </bottom>
      <diagonal/>
    </border>
    <border>
      <left style="dashed">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ashed">
        <color auto="1"/>
      </right>
      <top style="hair">
        <color auto="1"/>
      </top>
      <bottom style="hair">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109">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49" fontId="0" fillId="0" borderId="10" xfId="0" applyNumberFormat="1" applyBorder="1" applyAlignment="1">
      <alignment horizontal="left" vertical="top" wrapText="1"/>
    </xf>
    <xf numFmtId="49" fontId="0" fillId="0" borderId="10" xfId="0" applyNumberFormat="1" applyBorder="1" applyAlignment="1">
      <alignment horizontal="left" vertical="center" indent="1"/>
    </xf>
    <xf numFmtId="0" fontId="0" fillId="0" borderId="11" xfId="0" applyBorder="1" applyAlignment="1">
      <alignment horizontal="center" vertical="center"/>
    </xf>
    <xf numFmtId="49" fontId="0" fillId="0" borderId="12" xfId="0" applyNumberFormat="1" applyBorder="1"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indent="1"/>
    </xf>
    <xf numFmtId="49" fontId="13" fillId="34" borderId="13"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0" fontId="0" fillId="0" borderId="14" xfId="0" applyBorder="1" applyAlignment="1">
      <alignment horizontal="center" vertical="center"/>
    </xf>
    <xf numFmtId="0" fontId="0" fillId="0" borderId="14" xfId="0" applyBorder="1" applyAlignment="1">
      <alignment horizontal="left" vertical="center"/>
    </xf>
    <xf numFmtId="0" fontId="0" fillId="0" borderId="0" xfId="0" applyAlignment="1">
      <alignmen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49" fontId="20" fillId="0" borderId="0" xfId="0" applyNumberFormat="1" applyFont="1" applyAlignment="1">
      <alignment horizontal="left" vertical="center" wrapText="1" indent="1"/>
    </xf>
    <xf numFmtId="0" fontId="0" fillId="0" borderId="0" xfId="0" applyAlignment="1">
      <alignment horizontal="left" vertical="center" indent="2"/>
    </xf>
    <xf numFmtId="0" fontId="22" fillId="0" borderId="0" xfId="0" applyFont="1"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0" xfId="0" pivotButton="1" applyAlignment="1">
      <alignment vertical="top" wrapText="1"/>
    </xf>
    <xf numFmtId="43" fontId="0" fillId="0" borderId="0" xfId="44" applyFont="1" applyAlignment="1">
      <alignment vertical="top"/>
    </xf>
    <xf numFmtId="0" fontId="0" fillId="0" borderId="15" xfId="0" applyBorder="1" applyAlignment="1">
      <alignment horizontal="center" vertical="center"/>
    </xf>
    <xf numFmtId="49" fontId="0" fillId="0" borderId="16" xfId="0" applyNumberFormat="1" applyBorder="1" applyAlignment="1">
      <alignment wrapText="1"/>
    </xf>
    <xf numFmtId="0" fontId="0" fillId="0" borderId="0" xfId="0" applyAlignment="1">
      <alignment vertical="top" wrapText="1"/>
    </xf>
    <xf numFmtId="49" fontId="0" fillId="0" borderId="17" xfId="0" applyNumberFormat="1" applyBorder="1" applyAlignment="1">
      <alignment horizontal="left" vertical="top" wrapText="1"/>
    </xf>
    <xf numFmtId="0" fontId="0" fillId="0" borderId="14" xfId="0" applyBorder="1"/>
    <xf numFmtId="43" fontId="0" fillId="0" borderId="14" xfId="44" applyFont="1" applyBorder="1"/>
    <xf numFmtId="0" fontId="0" fillId="0" borderId="14"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7" xfId="0" applyNumberFormat="1" applyBorder="1" applyAlignment="1">
      <alignment horizontal="left" vertical="center" indent="1"/>
    </xf>
    <xf numFmtId="0" fontId="0" fillId="0" borderId="14" xfId="0" applyBorder="1" applyAlignment="1">
      <alignment horizontal="left" vertical="top" wrapText="1"/>
    </xf>
    <xf numFmtId="0" fontId="0" fillId="0" borderId="14" xfId="0" applyBorder="1" applyAlignment="1">
      <alignment horizontal="center" vertical="center" wrapText="1"/>
    </xf>
    <xf numFmtId="0" fontId="0" fillId="0" borderId="14" xfId="0" applyBorder="1" applyAlignment="1">
      <alignment vertical="top" wrapText="1"/>
    </xf>
    <xf numFmtId="49" fontId="13" fillId="34" borderId="13" xfId="0" applyNumberFormat="1" applyFont="1" applyFill="1" applyBorder="1" applyAlignment="1">
      <alignment horizontal="center" vertical="center"/>
    </xf>
    <xf numFmtId="43" fontId="0" fillId="0" borderId="0" xfId="0" applyNumberFormat="1"/>
    <xf numFmtId="0" fontId="0" fillId="0" borderId="18" xfId="0" applyBorder="1" applyAlignment="1">
      <alignment horizontal="left" vertical="center" indent="1"/>
    </xf>
    <xf numFmtId="0" fontId="0" fillId="0" borderId="18" xfId="0" applyBorder="1"/>
    <xf numFmtId="0" fontId="0" fillId="0" borderId="18" xfId="0" applyBorder="1" applyAlignment="1">
      <alignment horizontal="center" vertical="center"/>
    </xf>
    <xf numFmtId="0" fontId="0" fillId="0" borderId="18" xfId="0" applyBorder="1" applyAlignment="1">
      <alignment horizontal="left" vertical="top" wrapText="1"/>
    </xf>
    <xf numFmtId="0" fontId="0" fillId="0" borderId="18" xfId="0" applyBorder="1" applyAlignment="1">
      <alignment horizontal="center" vertical="center" wrapText="1"/>
    </xf>
    <xf numFmtId="43" fontId="0" fillId="0" borderId="18" xfId="0" applyNumberFormat="1" applyBorder="1"/>
    <xf numFmtId="0" fontId="0" fillId="0" borderId="18" xfId="0" applyBorder="1" applyAlignment="1">
      <alignment vertical="top" wrapText="1"/>
    </xf>
    <xf numFmtId="0" fontId="0" fillId="0" borderId="19" xfId="0" applyBorder="1" applyAlignment="1">
      <alignment horizontal="center" vertical="center"/>
    </xf>
    <xf numFmtId="0" fontId="0" fillId="0" borderId="19" xfId="0" applyBorder="1" applyAlignment="1">
      <alignment horizontal="left" vertical="top" wrapText="1"/>
    </xf>
    <xf numFmtId="0" fontId="0" fillId="0" borderId="19" xfId="0" applyBorder="1" applyAlignment="1">
      <alignment horizontal="center" vertical="center" wrapText="1"/>
    </xf>
    <xf numFmtId="43" fontId="0" fillId="0" borderId="19" xfId="44" applyFont="1" applyBorder="1"/>
    <xf numFmtId="0" fontId="0" fillId="0" borderId="19" xfId="0" applyBorder="1"/>
    <xf numFmtId="0" fontId="0" fillId="0" borderId="19" xfId="0" applyBorder="1" applyAlignment="1">
      <alignment horizontal="left" vertical="center" indent="1"/>
    </xf>
    <xf numFmtId="0" fontId="0" fillId="0" borderId="19" xfId="0" applyBorder="1" applyAlignment="1">
      <alignment vertical="top" wrapText="1"/>
    </xf>
    <xf numFmtId="0" fontId="0" fillId="0" borderId="0" xfId="0" applyAlignment="1">
      <alignment horizontal="center" vertical="center" wrapText="1"/>
    </xf>
    <xf numFmtId="164" fontId="0" fillId="0" borderId="0" xfId="0" applyNumberFormat="1"/>
    <xf numFmtId="0" fontId="20" fillId="0" borderId="0" xfId="0" applyFont="1" applyAlignment="1">
      <alignment vertical="top" wrapText="1"/>
    </xf>
    <xf numFmtId="1" fontId="0" fillId="0" borderId="10" xfId="0" applyNumberFormat="1" applyBorder="1" applyAlignment="1">
      <alignment horizontal="center" vertical="center"/>
    </xf>
    <xf numFmtId="49" fontId="0" fillId="0" borderId="10" xfId="0" applyNumberFormat="1" applyBorder="1" applyAlignment="1">
      <alignment horizontal="left" vertical="center"/>
    </xf>
    <xf numFmtId="0" fontId="0" fillId="0" borderId="10" xfId="0" applyBorder="1" applyAlignment="1">
      <alignment horizontal="center" vertical="center"/>
    </xf>
    <xf numFmtId="49" fontId="0" fillId="0" borderId="10" xfId="0" applyNumberFormat="1" applyBorder="1" applyAlignment="1">
      <alignment horizontal="center" vertical="center" wrapText="1"/>
    </xf>
    <xf numFmtId="0" fontId="0" fillId="0" borderId="10" xfId="0" applyBorder="1" applyAlignment="1">
      <alignment horizontal="left" vertical="center"/>
    </xf>
    <xf numFmtId="49" fontId="0" fillId="0" borderId="10" xfId="0" applyNumberFormat="1" applyBorder="1" applyAlignment="1">
      <alignment horizontal="left" vertical="top" wrapText="1" indent="1"/>
    </xf>
    <xf numFmtId="49" fontId="0" fillId="0" borderId="10" xfId="0" applyNumberFormat="1" applyBorder="1" applyAlignment="1">
      <alignment horizontal="center" vertical="center"/>
    </xf>
    <xf numFmtId="43" fontId="0" fillId="0" borderId="10" xfId="12" applyNumberFormat="1" applyFont="1" applyFill="1" applyBorder="1" applyAlignment="1">
      <alignment horizontal="center" wrapText="1"/>
    </xf>
    <xf numFmtId="2" fontId="0" fillId="0" borderId="10" xfId="12" applyNumberFormat="1" applyFont="1" applyFill="1" applyBorder="1" applyAlignment="1">
      <alignment horizontal="center" wrapText="1"/>
    </xf>
    <xf numFmtId="49" fontId="0" fillId="0" borderId="10" xfId="12" applyNumberFormat="1" applyFont="1" applyFill="1" applyBorder="1" applyAlignment="1">
      <alignment horizontal="left" vertical="center" wrapText="1" indent="1"/>
    </xf>
    <xf numFmtId="0" fontId="0" fillId="0" borderId="20" xfId="0" applyBorder="1" applyAlignment="1">
      <alignment horizontal="right"/>
    </xf>
    <xf numFmtId="0" fontId="0" fillId="0" borderId="18" xfId="0" applyBorder="1" applyAlignment="1">
      <alignment horizontal="right"/>
    </xf>
    <xf numFmtId="2" fontId="0" fillId="0" borderId="21" xfId="0" applyNumberFormat="1" applyBorder="1" applyAlignment="1">
      <alignment horizontal="left" vertical="center" indent="1"/>
    </xf>
    <xf numFmtId="43" fontId="0" fillId="0" borderId="22" xfId="44" applyFont="1" applyBorder="1" applyAlignment="1">
      <alignment horizontal="right"/>
    </xf>
    <xf numFmtId="43" fontId="0" fillId="0" borderId="22" xfId="44" applyFont="1" applyFill="1" applyBorder="1" applyAlignment="1">
      <alignment horizontal="right"/>
    </xf>
    <xf numFmtId="0" fontId="0" fillId="0" borderId="22" xfId="0" applyBorder="1" applyAlignment="1">
      <alignment horizontal="center" vertical="center"/>
    </xf>
    <xf numFmtId="43" fontId="0" fillId="0" borderId="22" xfId="44" applyFont="1" applyFill="1" applyBorder="1" applyAlignment="1">
      <alignment horizontal="right" vertical="center"/>
    </xf>
    <xf numFmtId="0" fontId="0" fillId="0" borderId="22" xfId="0" applyBorder="1"/>
    <xf numFmtId="2" fontId="0" fillId="0" borderId="22" xfId="0" applyNumberFormat="1" applyBorder="1"/>
    <xf numFmtId="43" fontId="0" fillId="0" borderId="22" xfId="44" applyFont="1" applyBorder="1"/>
    <xf numFmtId="43" fontId="16" fillId="0" borderId="22" xfId="0" applyNumberFormat="1" applyFont="1" applyBorder="1"/>
    <xf numFmtId="43" fontId="0" fillId="0" borderId="22" xfId="0" applyNumberFormat="1" applyBorder="1"/>
    <xf numFmtId="1" fontId="0" fillId="0" borderId="22" xfId="0" applyNumberFormat="1" applyBorder="1" applyAlignment="1">
      <alignment horizontal="center" vertical="center"/>
    </xf>
    <xf numFmtId="0" fontId="0" fillId="0" borderId="23" xfId="0" applyBorder="1" applyAlignment="1">
      <alignment wrapText="1"/>
    </xf>
    <xf numFmtId="2" fontId="0" fillId="0" borderId="24" xfId="0" applyNumberFormat="1" applyBorder="1" applyAlignment="1">
      <alignment horizontal="left" vertical="center" indent="1"/>
    </xf>
    <xf numFmtId="43" fontId="0" fillId="0" borderId="25" xfId="44" applyFont="1" applyBorder="1" applyAlignment="1">
      <alignment horizontal="right"/>
    </xf>
    <xf numFmtId="0" fontId="0" fillId="0" borderId="25" xfId="0" applyBorder="1" applyAlignment="1">
      <alignment horizontal="center" vertical="center"/>
    </xf>
    <xf numFmtId="43" fontId="0" fillId="0" borderId="25" xfId="44" applyFont="1" applyFill="1" applyBorder="1" applyAlignment="1">
      <alignment horizontal="right" vertical="center"/>
    </xf>
    <xf numFmtId="4" fontId="0" fillId="0" borderId="25" xfId="0" applyNumberFormat="1" applyBorder="1"/>
    <xf numFmtId="2" fontId="0" fillId="0" borderId="25" xfId="0" applyNumberFormat="1" applyBorder="1"/>
    <xf numFmtId="43" fontId="0" fillId="0" borderId="25" xfId="44" applyFont="1" applyBorder="1"/>
    <xf numFmtId="43" fontId="16" fillId="0" borderId="25" xfId="0" applyNumberFormat="1" applyFont="1" applyBorder="1"/>
    <xf numFmtId="43" fontId="0" fillId="0" borderId="25" xfId="0" applyNumberFormat="1" applyBorder="1"/>
    <xf numFmtId="1" fontId="0" fillId="0" borderId="25" xfId="0" applyNumberFormat="1" applyBorder="1" applyAlignment="1">
      <alignment horizontal="center" vertical="center"/>
    </xf>
    <xf numFmtId="4" fontId="0" fillId="0" borderId="26" xfId="0" applyNumberFormat="1" applyBorder="1" applyAlignment="1">
      <alignment wrapText="1"/>
    </xf>
    <xf numFmtId="43" fontId="0" fillId="0" borderId="25" xfId="44" applyFont="1" applyFill="1" applyBorder="1"/>
    <xf numFmtId="0" fontId="0" fillId="0" borderId="25" xfId="0" applyBorder="1"/>
    <xf numFmtId="0" fontId="0" fillId="0" borderId="26" xfId="0" applyBorder="1" applyAlignment="1">
      <alignment wrapText="1"/>
    </xf>
    <xf numFmtId="1" fontId="0" fillId="0" borderId="18" xfId="0" applyNumberFormat="1" applyBorder="1"/>
    <xf numFmtId="2" fontId="0" fillId="0" borderId="18" xfId="0" applyNumberFormat="1" applyBorder="1" applyAlignment="1">
      <alignment horizontal="left" vertical="center" indent="1"/>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286">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bgColor rgb="FFFF0000"/>
        </patternFill>
      </fill>
    </dxf>
    <dxf>
      <fill>
        <patternFill>
          <bgColor rgb="FF92D05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F0000"/>
        </patternFill>
      </fill>
    </dxf>
    <dxf>
      <fill>
        <patternFill patternType="solid">
          <fgColor indexed="64"/>
          <bgColor rgb="FFC9A6E4"/>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numFmt numFmtId="35" formatCode="_-* #,##0.00_-;\-* #,##0.00_-;_-* &quot;-&quot;??_-;_-@_-"/>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top" textRotation="0" wrapText="1" indent="0" justifyLastLine="0" shrinkToFit="0" readingOrder="0"/>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1" indent="1"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0" formatCode="@"/>
      <fill>
        <patternFill patternType="none">
          <fgColor indexed="64"/>
          <bgColor auto="1"/>
        </patternFill>
      </fill>
      <alignment horizontal="left" vertical="center"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1"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dxf>
    <dxf>
      <numFmt numFmtId="30" formatCode="@"/>
      <alignment horizontal="center" vertical="top" textRotation="0" wrapText="1" indent="0" justifyLastLine="0" shrinkToFit="0" readingOrder="0"/>
    </dxf>
    <dxf>
      <border diagonalUp="0" diagonalDown="0" outline="0">
        <left style="dashed">
          <color auto="1"/>
        </left>
        <right style="dashed">
          <color auto="1"/>
        </right>
        <top/>
        <bottom/>
      </border>
    </dxf>
    <dxf>
      <fill>
        <patternFill patternType="none">
          <bgColor auto="1"/>
        </patternFill>
      </fill>
      <alignment horizontal="general" vertical="bottom" textRotation="0" wrapText="1" indent="0" justifyLastLine="0" shrinkToFit="0" readingOrder="0"/>
      <border diagonalUp="0" diagonalDown="0">
        <left style="hair">
          <color auto="1"/>
        </left>
        <right style="dashed">
          <color auto="1"/>
        </right>
        <top style="hair">
          <color auto="1"/>
        </top>
        <bottom style="hair">
          <color auto="1"/>
        </bottom>
        <vertical style="hair">
          <color auto="1"/>
        </vertical>
        <horizontal style="hair">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border diagonalUp="0" diagonalDown="0" outline="0">
        <left style="dashed">
          <color auto="1"/>
        </left>
        <right style="dashed">
          <color auto="1"/>
        </right>
        <top/>
        <bottom/>
      </border>
    </dxf>
    <dxf>
      <numFmt numFmtId="2" formatCode="0.00"/>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font>
        <b/>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font>
        <b/>
      </font>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right" vertical="bottom"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right" vertical="bottom" textRotation="0" wrapText="0" indent="0" justifyLastLine="0" shrinkToFit="0" readingOrder="0"/>
      <border diagonalUp="0" diagonalDown="0" outline="0">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left" vertical="center" textRotation="0" wrapText="0" indent="1" justifyLastLine="0" shrinkToFit="0" readingOrder="0"/>
      <border diagonalUp="0" diagonalDown="0" outline="0">
        <left style="dashed">
          <color auto="1"/>
        </left>
        <right style="dashed">
          <color auto="1"/>
        </right>
        <top/>
        <bottom/>
      </border>
    </dxf>
    <dxf>
      <fill>
        <patternFill patternType="none">
          <bgColor auto="1"/>
        </patternFill>
      </fill>
      <alignment horizontal="left" vertical="center" textRotation="0" wrapText="0" relativeIndent="1" justifyLastLine="0" shrinkToFit="0" readingOrder="0"/>
      <border diagonalUp="0" diagonalDown="0">
        <left style="dashed">
          <color auto="1"/>
        </left>
        <right style="hair">
          <color auto="1"/>
        </right>
        <top style="hair">
          <color auto="1"/>
        </top>
        <bottom style="hair">
          <color auto="1"/>
        </bottom>
        <vertical style="hair">
          <color auto="1"/>
        </vertical>
        <horizontal style="hair">
          <color auto="1"/>
        </horizontal>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outline="0">
        <left style="dashed">
          <color auto="1"/>
        </left>
        <right/>
        <top style="dashed">
          <color auto="1"/>
        </top>
        <bottom style="dashed">
          <color auto="1"/>
        </bottom>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285"/>
      <tableStyleElement type="totalRow" dxfId="284"/>
      <tableStyleElement type="secondRowStripe" dxfId="283"/>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103">
      <pivotArea dataOnly="0" labelOnly="1" outline="0" axis="axisValues" fieldPosition="0"/>
    </format>
    <format dxfId="102">
      <pivotArea dataOnly="0" labelOnly="1" outline="0" axis="axisValues" fieldPosition="0"/>
    </format>
    <format dxfId="101">
      <pivotArea dataOnly="0" outline="0" fieldPosition="0">
        <references count="1">
          <reference field="4294967294" count="1">
            <x v="1"/>
          </reference>
        </references>
      </pivotArea>
    </format>
    <format dxfId="100">
      <pivotArea dataOnly="0" outline="0" fieldPosition="0">
        <references count="1">
          <reference field="4294967294" count="1">
            <x v="1"/>
          </reference>
        </references>
      </pivotArea>
    </format>
    <format dxfId="99">
      <pivotArea dataOnly="0" outline="0" fieldPosition="0">
        <references count="1">
          <reference field="4294967294" count="1">
            <x v="0"/>
          </reference>
        </references>
      </pivotArea>
    </format>
    <format dxfId="98">
      <pivotArea dataOnly="0" outline="0" fieldPosition="0">
        <references count="1">
          <reference field="4294967294" count="1">
            <x v="0"/>
          </reference>
        </references>
      </pivotArea>
    </format>
    <format dxfId="97">
      <pivotArea dataOnly="0" outline="0" fieldPosition="0">
        <references count="1">
          <reference field="4294967294" count="1">
            <x v="1"/>
          </reference>
        </references>
      </pivotArea>
    </format>
    <format dxfId="96">
      <pivotArea field="1" type="button" dataOnly="0" labelOnly="1" outline="0" axis="axisPage"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fieldPosition="0">
        <references count="2">
          <reference field="0" count="1" selected="0">
            <x v="1"/>
          </reference>
          <reference field="3" count="2">
            <x v="5"/>
            <x v="11"/>
          </reference>
        </references>
      </pivotArea>
    </format>
    <format dxfId="91">
      <pivotArea dataOnly="0" labelOnly="1" fieldPosition="0">
        <references count="2">
          <reference field="0" count="1" selected="0">
            <x v="3"/>
          </reference>
          <reference field="3" count="2">
            <x v="7"/>
            <x v="8"/>
          </reference>
        </references>
      </pivotArea>
    </format>
    <format dxfId="90">
      <pivotArea field="1" type="button" dataOnly="0" labelOnly="1" outline="0" axis="axisPage" fieldPosition="0"/>
    </format>
    <format dxfId="89">
      <pivotArea dataOnly="0" labelOnly="1" outline="0" fieldPosition="0">
        <references count="1">
          <reference field="4294967294" count="1">
            <x v="2"/>
          </reference>
        </references>
      </pivotArea>
    </format>
    <format dxfId="88">
      <pivotArea outline="0" collapsedLevelsAreSubtotals="1" fieldPosition="0">
        <references count="1">
          <reference field="4294967294" count="1" selected="0">
            <x v="2"/>
          </reference>
        </references>
      </pivotArea>
    </format>
    <format dxfId="87">
      <pivotArea field="0" grandRow="1" outline="0" collapsedLevelsAreSubtotals="1" axis="axisRow" fieldPosition="0">
        <references count="1">
          <reference field="4294967294" count="1" selected="0">
            <x v="2"/>
          </reference>
        </references>
      </pivotArea>
    </format>
    <format dxfId="86">
      <pivotArea dataOnly="0" outline="0" fieldPosition="0">
        <references count="1">
          <reference field="4294967294" count="1">
            <x v="0"/>
          </reference>
        </references>
      </pivotArea>
    </format>
    <format dxfId="85">
      <pivotArea dataOnly="0" labelOnly="1" outline="0" fieldPosition="0">
        <references count="1">
          <reference field="4294967294" count="1">
            <x v="0"/>
          </reference>
        </references>
      </pivotArea>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field="0" type="button" dataOnly="0" labelOnly="1" outline="0" axis="axisRow" fieldPosition="0"/>
    </format>
    <format dxfId="80">
      <pivotArea dataOnly="0" labelOnly="1" fieldPosition="0">
        <references count="1">
          <reference field="0" count="1">
            <x v="4"/>
          </reference>
        </references>
      </pivotArea>
    </format>
    <format dxfId="79">
      <pivotArea dataOnly="0" labelOnly="1" grandRow="1" outline="0" fieldPosition="0"/>
    </format>
    <format dxfId="78">
      <pivotArea dataOnly="0" labelOnly="1" fieldPosition="0">
        <references count="2">
          <reference field="0" count="1" selected="0">
            <x v="4"/>
          </reference>
          <reference field="3" count="2">
            <x v="9"/>
            <x v="10"/>
          </reference>
        </references>
      </pivotArea>
    </format>
    <format dxfId="77">
      <pivotArea field="0" type="button" dataOnly="0" labelOnly="1" outline="0" axis="axisRow" fieldPosition="0"/>
    </format>
    <format dxfId="76">
      <pivotArea dataOnly="0" labelOnly="1" fieldPosition="0">
        <references count="1">
          <reference field="0" count="4">
            <x v="0"/>
            <x v="1"/>
            <x v="2"/>
            <x v="3"/>
          </reference>
        </references>
      </pivotArea>
    </format>
    <format dxfId="75">
      <pivotArea dataOnly="0" labelOnly="1" grandRow="1" outline="0" fieldPosition="0"/>
    </format>
    <format dxfId="74">
      <pivotArea dataOnly="0" labelOnly="1" fieldPosition="0">
        <references count="1">
          <reference field="3" count="0"/>
        </references>
      </pivotArea>
    </format>
    <format dxfId="73">
      <pivotArea dataOnly="0" labelOnly="1" fieldPosition="0">
        <references count="1">
          <reference field="3" count="0"/>
        </references>
      </pivotArea>
    </format>
    <format dxfId="72">
      <pivotArea dataOnly="0" outline="0" fieldPosition="0">
        <references count="1">
          <reference field="4294967294" count="1">
            <x v="1"/>
          </reference>
        </references>
      </pivotArea>
    </format>
    <format dxfId="71">
      <pivotArea dataOnly="0" outline="0" fieldPosition="0">
        <references count="1">
          <reference field="4294967294" count="1">
            <x v="2"/>
          </reference>
        </references>
      </pivotArea>
    </format>
    <format dxfId="70">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F1CCDB27-A76E-4759-AF84-FB1A0BBBBA95}" autoFormatId="16" applyNumberFormats="0" applyBorderFormats="0" applyFontFormats="0" applyPatternFormats="0" applyAlignmentFormats="0" applyWidthHeightFormats="0">
  <queryTableRefresh nextId="41">
    <queryTableFields count="39">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24" name="COST PRICE $PURCHASE" tableColumnId="24"/>
      <queryTableField id="25" name="TCP SOURCE" tableColumnId="25"/>
      <queryTableField id="26" name="COMMENT WORK" tableColumnId="26"/>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35" name="PRICE UNIT $TOTAL" tableColumnId="35"/>
      <queryTableField id="36" name="COST $TOTAL" tableColumnId="36"/>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F276A-FCBF-4A3F-9BB6-CF6584DA62A7}" name="TabSpecificationWork_1" displayName="TabSpecificationWork_1" ref="A1:AD10" headerRowDxfId="244" dataDxfId="243">
  <autoFilter ref="A1:AD10" xr:uid="{442F276A-FCBF-4A3F-9BB6-CF6584DA62A7}">
    <filterColumn colId="6">
      <filters>
        <filter val="1"/>
      </filters>
    </filterColumn>
  </autoFilter>
  <tableColumns count="30">
    <tableColumn id="1" xr3:uid="{2A60F78A-557A-4C8A-A1E1-3BC16A6FE122}" name="IDnum" totalsRowLabel="Итог" dataDxfId="242" totalsRowDxfId="241"/>
    <tableColumn id="2" xr3:uid="{541234E3-F4FB-40FB-94E5-C48A42522446}" name="IDsource" dataDxfId="240" totalsRowDxfId="239"/>
    <tableColumn id="3" xr3:uid="{0B672A4C-E7A8-4307-AEA0-96DB12CAE848}" name="NUM PROJECT" dataDxfId="238" totalsRowDxfId="237"/>
    <tableColumn id="4" xr3:uid="{7C886965-9CC6-4F70-9A26-CD62DE88EE22}" name="NUM ORDER" dataDxfId="236" totalsRowDxfId="235">
      <calculatedColumnFormula>MID(TabSpecificationWork_1[[#This Row],[NUM PROJECT]], SEARCH("-N",TabSpecificationWork_1[[#This Row],[NUM PROJECT]])+2, SEARCH("-",TabSpecificationWork_1[[#This Row],[NUM PROJECT]],SEARCH("-",TabSpecificationWork_1[[#This Row],[NUM PROJECT]])+1) - (SEARCH("-N",TabSpecificationWork_1[[#This Row],[NUM PROJECT]])+2))</calculatedColumnFormula>
    </tableColumn>
    <tableColumn id="5" xr3:uid="{6AFA91E3-22E0-4EE8-BAC1-9C0C6B682136}" name="VER COLLECTION" dataDxfId="234" totalsRowDxfId="233"/>
    <tableColumn id="29" xr3:uid="{7E06C33D-E17B-437A-A8A1-B05832931B53}" name="DESCRIPTION SET" dataDxfId="232" totalsRowDxfId="231"/>
    <tableColumn id="6" xr3:uid="{60524C36-7891-4CDA-9758-A81A6E347383}" name="IDset" dataDxfId="230" totalsRowDxfId="229"/>
    <tableColumn id="7" xr3:uid="{70377ED0-0798-4786-A968-A1092A705384}" name="NUM SEQUENCE SET" dataDxfId="228" totalsRowDxfId="227"/>
    <tableColumn id="8" xr3:uid="{CD27A90F-05C1-4D45-8DD6-EA7D25D8F06C}" name="NUM FULL SET" dataDxfId="226" totalsRowDxfId="225">
      <calculatedColumnFormula>CONCATENATE(TabSpecificationWork_1[[#This Row],[IDset]],".",TabSpecificationWork_1[[#This Row],[NUM SEQUENCE SET]])</calculatedColumnFormula>
    </tableColumn>
    <tableColumn id="25" xr3:uid="{152B1876-09E9-4A2D-B55C-ADC87B2900FA}" name="isSHIPPED" dataDxfId="224" totalsRowDxfId="223"/>
    <tableColumn id="10" xr3:uid="{FB51258F-427B-4495-A3E9-6E78E7532742}" name="HASH COLLECTION" dataDxfId="222" totalsRowDxfId="221">
      <calculatedColumnFormula>LOWER(CONCATENATE(TabSpecificationWork_1[[#This Row],[NUM PROJECT]],"-","ver_",TabSpecificationWork_1[[#This Row],[VER COLLECTION]],"-","set_",TabSpecificationWork_1[[#This Row],[NUM FULL SET]],"-",TabSpecificationWork_1[[#This Row],[isSHIPPED]]))</calculatedColumnFormula>
    </tableColumn>
    <tableColumn id="11" xr3:uid="{8A2D1173-F161-463D-A0BF-63FC7ED0B4FB}" name="NAME PRODUCT" dataDxfId="220" totalsRowDxfId="219"/>
    <tableColumn id="12" xr3:uid="{907BD0C9-0114-4638-A983-899356A9C869}" name="DESCRIPTION PRODUCT" dataDxfId="218" totalsRowDxfId="217"/>
    <tableColumn id="13" xr3:uid="{108EA91F-680B-4273-94E8-8FBCFFA1AC04}" name="BRAND" dataDxfId="216" totalsRowDxfId="215"/>
    <tableColumn id="14" xr3:uid="{E4861E4D-A0C8-4A11-B4AA-DFB3C64D4EB2}" name="SUPPLIER" dataDxfId="214" totalsRowDxfId="213"/>
    <tableColumn id="15" xr3:uid="{73475B39-6871-4833-BB24-BF8B8CF4E4A4}" name="ARTICLE SUPPLIER" dataDxfId="212" totalsRowDxfId="211"/>
    <tableColumn id="16" xr3:uid="{EDB46A9A-3B70-4724-AC00-E030C20DCA43}" name="ARTICLE INTERNAL" dataDxfId="210" totalsRowDxfId="209"/>
    <tableColumn id="17" xr3:uid="{57F8BAC9-CE7F-42C1-8751-D77B4DA60042}" name="UNITS" dataDxfId="208" totalsRowDxfId="207"/>
    <tableColumn id="18" xr3:uid="{9DED3F02-E50D-4A33-AD0A-34AC1D718EFF}" name="QUANTITY SET" dataDxfId="206" totalsRowDxfId="205"/>
    <tableColumn id="19" xr3:uid="{1EA71402-BB69-4112-A4BE-D366F7C82A46}" name="QUANTITY SHIPPED SET" dataDxfId="204" totalsRowDxfId="203"/>
    <tableColumn id="20" xr3:uid="{C8E53872-0682-484F-B8D2-9C2713240884}" name="QUANTITY TOTAL" dataDxfId="202" totalsRowDxfId="201">
      <calculatedColumnFormula>TabSpecificationWork_1[[#This Row],[QUANTITY SET]]*TabSpecificationWork_1[[#This Row],[QUANTITY SHIPPED SET]]</calculatedColumnFormula>
    </tableColumn>
    <tableColumn id="21" xr3:uid="{6E122565-E65B-4DE9-B185-5F011F19A6B3}" name="QUANTITY SUPPLIER" dataDxfId="200" totalsRowDxfId="199"/>
    <tableColumn id="22" xr3:uid="{53F2F633-89D3-455F-8FEB-8BFB964B4EEE}" name="PRICE UNIT $PURCHASE" dataDxfId="198" totalsRowDxfId="197" dataCellStyle="Связанная ячейка"/>
    <tableColumn id="9" xr3:uid="{3BA18DCF-B663-4699-8019-4AC2D1A5E3BA}" name="VAT ADD PRICE $PURCHASE" dataDxfId="196" totalsRowDxfId="195" dataCellStyle="Связанная ячейка"/>
    <tableColumn id="23" xr3:uid="{1259C1D1-F564-4A60-AED0-29092D9824B4}" name="COST PRICE $PURCHASE" dataDxfId="194" totalsRowDxfId="193" dataCellStyle="Связанная ячейка">
      <calculatedColumnFormula>TabSpecificationWork_1[[#This Row],[QUANTITY TOTAL]]*TabSpecificationWork_1[[#This Row],[PRICE UNIT $PURCHASE]]</calculatedColumnFormula>
    </tableColumn>
    <tableColumn id="30" xr3:uid="{E22646A7-94DC-4E7B-A533-432F4A49C6CB}" name="COST PRICE VAT $PURCHASE" dataDxfId="192" totalsRowDxfId="191" dataCellStyle="Связанная ячейка">
      <calculatedColumnFormula>TabSpecificationWork_1[[#This Row],[VAT ADD PRICE $PURCHASE]]*TabSpecificationWork_1[[#This Row],[QUANTITY TOTAL]]+TabSpecificationWork_1[[#This Row],[COST PRICE $PURCHASE]]</calculatedColumnFormula>
    </tableColumn>
    <tableColumn id="24" xr3:uid="{A6A3F092-CC96-46D5-9750-8770946F9610}" name="TCP SOURCE" dataDxfId="190" totalsRowDxfId="189" dataCellStyle="Связанная ячейка"/>
    <tableColumn id="26" xr3:uid="{5CD0038A-FD64-402C-8800-8B95AEF689DE}" name="COMMENT WORK" dataDxfId="188" totalsRowDxfId="187"/>
    <tableColumn id="27" xr3:uid="{C5B1D56B-BB5C-46C8-BCB3-C103FD40F536}" name="URL PRODUCT" dataDxfId="186" totalsRowDxfId="185"/>
    <tableColumn id="28" xr3:uid="{7B50AE56-BBC4-4A38-8A4E-3353F30717A3}" name="IMAGE PRODUCT" totalsRowFunction="count" dataDxfId="184" totalsRowDxfId="183"/>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11" totalsRowCount="1" headerRowDxfId="282" dataDxfId="281">
  <autoFilter ref="F1:W10" xr:uid="{39D2FA2E-0933-4796-BA9B-C86666372FE4}">
    <filterColumn colId="0">
      <customFilters>
        <customFilter operator="notEqual" val="*false*"/>
      </customFilters>
    </filterColumn>
  </autoFilter>
  <tableColumns count="18">
    <tableColumn id="1" xr3:uid="{2D35AB6D-689E-4581-BFB5-254603E305B8}" name="HASH COLLECTION" totalsRowLabel="Итог" dataDxfId="280" totalsRowDxfId="279">
      <calculatedColumnFormula>E2</calculatedColumnFormula>
    </tableColumn>
    <tableColumn id="2" xr3:uid="{1FF74755-B711-4353-9FE3-236304C8C10A}" name="COEFFICIENT MARKUP" dataDxfId="278" totalsRowDxfId="277"/>
    <tableColumn id="3" xr3:uid="{C9DF27EE-C3F5-48EA-8A9F-08703557C240}" name="PRICE UNIT $SALE" dataDxfId="276" totalsRowDxfId="275" dataCellStyle="Финансовый">
      <calculatedColumnFormula>TabSpecificationWork_2[[#This Row],[COEFFICIENT MARKUP]]*TabSpecificationWork_1[[#This Row],[PRICE UNIT $PURCHASE]]</calculatedColumnFormula>
    </tableColumn>
    <tableColumn id="4" xr3:uid="{13E50560-E3A1-4918-9A72-E170AD0ED179}" name="COST DEAL $SALE" dataDxfId="274" totalsRowDxfId="273">
      <calculatedColumnFormula>TabSpecificationWork_1[[#This Row],[QUANTITY TOTAL]]*TabSpecificationWork_2[[#This Row],[PRICE UNIT $SALE]]</calculatedColumnFormula>
    </tableColumn>
    <tableColumn id="5" xr3:uid="{2ADC428A-1173-4D5A-9D2F-6AB8F3260492}" name="DISCOUNT PERCENT" dataDxfId="272" totalsRowDxfId="271"/>
    <tableColumn id="6" xr3:uid="{55B81372-0275-4435-8DD1-08DE134AE7CF}" name="DISCOUNT MONEY" dataDxfId="270" totalsRowDxfId="269" dataCellStyle="Финансовый">
      <calculatedColumnFormula>(TabSpecificationWork_2[[#This Row],[COST DEAL $SALE]]/100)*TabSpecificationWork_2[[#This Row],[DISCOUNT PERCENT]]</calculatedColumnFormula>
    </tableColumn>
    <tableColumn id="7" xr3:uid="{97734D3E-F1D4-4553-83AC-2FD721115591}" name="FORMULA SPECIFIC COST" dataDxfId="268" totalsRowDxfId="267"/>
    <tableColumn id="14" xr3:uid="{D7B68A30-8E83-45DF-8CC1-74E8F848D678}" name="VAT RATE CONTRACTOR $TOTAL" dataDxfId="266" totalsRowDxfId="265">
      <calculatedColumnFormula>_xlfn.LET(
    _xlpm.projNum, _xlfn.XLOOKUP(TabSpecificationWork_2[[#This Row],[HASH COLLECTION]], TabSpecificationWork_1[HASH COLLECTION], TabSpecificationWork_1[NUM PROJECT], ""),
    _xlpm.company, UPPER(TRIM(_xlfn.TEXTAFTER(_xlpm.projNum, "-", 2))),
    IF(_xlpm.company="ГОРИЗОНТ", 0.22, 0)
)</calculatedColumnFormula>
    </tableColumn>
    <tableColumn id="8" xr3:uid="{7F91BE1C-6777-472B-9705-6FEAA341F9E4}" name="PRICE UNIT $TOTAL" dataDxfId="264" totalsRowDxfId="263" dataCellStyle="Финансовый">
      <calculatedColumnFormula>TabSpecificationWork_2[[#This Row],[PRICE UNIT $SALE]]</calculatedColumnFormula>
    </tableColumn>
    <tableColumn id="15" xr3:uid="{02D7F0B7-1820-4501-A308-119A82255F82}" name="VAT ADD PRICE UNIT $TOTAL" dataDxfId="262" totalsRowDxfId="261" dataCellStyle="Финансовый">
      <calculatedColumnFormula>TabSpecificationWork_2[[#This Row],[PRICE UNIT $TOTAL]] * TabSpecificationWork_2[[#This Row],[VAT RATE CONTRACTOR $TOTAL]]</calculatedColumnFormula>
    </tableColumn>
    <tableColumn id="16" xr3:uid="{A366C5F5-93AB-4564-A73C-1BE62A7FB420}" name="PRICE VAT UNIT $TOTAL" dataDxfId="260" totalsRowDxfId="259" dataCellStyle="Финансовый">
      <calculatedColumnFormula>TabSpecificationWork_2[[#This Row],[PRICE UNIT $TOTAL]] + TabSpecificationWork_2[[#This Row],[VAT ADD PRICE UNIT $TOTAL]]</calculatedColumnFormula>
    </tableColumn>
    <tableColumn id="9" xr3:uid="{F2DD7380-C2AA-4B5D-9F95-BF99066D156C}" name="COST $TOTAL" totalsRowFunction="sum" dataDxfId="258" totalsRowDxfId="257">
      <calculatedColumnFormula>TabSpecificationWork_2[[#This Row],[COST DEAL $SALE]]-TabSpecificationWork_2[[#This Row],[DISCOUNT MONEY]]</calculatedColumnFormula>
    </tableColumn>
    <tableColumn id="17" xr3:uid="{DA0391AF-C0CB-4566-9660-F446B432E374}" name="COST ADD VAT $TOTAL" dataDxfId="256" totalsRowDxfId="255">
      <calculatedColumnFormula>TabSpecificationWork_2[[#This Row],[COST $TOTAL]] * TabSpecificationWork_2[[#This Row],[VAT RATE CONTRACTOR $TOTAL]]</calculatedColumnFormula>
    </tableColumn>
    <tableColumn id="18" xr3:uid="{E88F4D99-BABC-4145-AF83-6C46AEA0AEF1}" name="COST VAT $TOTAL" totalsRowFunction="sum" dataDxfId="254" totalsRowDxfId="253">
      <calculatedColumnFormula>TabSpecificationWork_2[[#This Row],[COST $TOTAL]] + TabSpecificationWork_2[[#This Row],[COST ADD VAT $TOTAL]]</calculatedColumnFormula>
    </tableColumn>
    <tableColumn id="10" xr3:uid="{6B388F0D-214D-47C1-9BDE-C5B75AE170F9}" name="DURATION SALE $TOTAL" totalsRowFunction="sum" dataDxfId="252" totalsRowDxfId="251"/>
    <tableColumn id="11" xr3:uid="{F0C19BA4-14CD-46D7-9589-E18338973F4F}" name="isSUPPLIED" dataDxfId="250" totalsRowDxfId="249"/>
    <tableColumn id="12" xr3:uid="{0A11BEAE-757A-4C41-869F-EC42034A4E09}" name="isPROCESSING" dataDxfId="248" totalsRowDxfId="247"/>
    <tableColumn id="13" xr3:uid="{BB13BB81-0814-4356-8E31-92626816A46D}" name="COMMENT CUSTOMER" totalsRowFunction="count" dataDxfId="246" totalsRowDxfId="245"/>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M24" tableType="queryTable" totalsRowCount="1" headerRowDxfId="182">
  <autoFilter ref="A1:AM23" xr:uid="{54871F67-2D12-4975-AE30-A22C979C2BA1}"/>
  <tableColumns count="39">
    <tableColumn id="1" xr3:uid="{DF5F1AE5-7188-4873-9B43-AA856EED46B2}" uniqueName="1" name="IDnum" queryTableFieldId="1" dataDxfId="181" totalsRowDxfId="180"/>
    <tableColumn id="2" xr3:uid="{CE1B78A7-F713-475B-A081-267866FA36FF}" uniqueName="2" name="IDsource" queryTableFieldId="2" dataDxfId="179" totalsRowDxfId="178"/>
    <tableColumn id="3" xr3:uid="{99C3FFBE-B09A-4E17-8764-3208510986F2}" uniqueName="3" name="NUM PROJECT" queryTableFieldId="3" dataDxfId="177" totalsRowDxfId="176"/>
    <tableColumn id="4" xr3:uid="{764AE984-47C0-42D7-B7A4-DAF96FA77B7D}" uniqueName="4" name="NUM ORDER" queryTableFieldId="4" dataDxfId="175" totalsRowDxfId="174"/>
    <tableColumn id="5" xr3:uid="{0F394EC3-840C-4AD4-BD3C-F9A1F0F08C22}" uniqueName="5" name="VER COLLECTION" queryTableFieldId="5" dataDxfId="173" totalsRowDxfId="172"/>
    <tableColumn id="6" xr3:uid="{0260A494-B10A-418B-918B-98FE265FA8EC}" uniqueName="6" name="DESCRIPTION SET" queryTableFieldId="6" dataDxfId="171" totalsRowDxfId="170"/>
    <tableColumn id="7" xr3:uid="{8F6F80F9-7D76-4812-A190-E220BE291249}" uniqueName="7" name="IDset" queryTableFieldId="7" dataDxfId="169" totalsRowDxfId="168"/>
    <tableColumn id="8" xr3:uid="{3AF82789-BEAC-4A80-AD19-A668F8674054}" uniqueName="8" name="NUM SEQUENCE SET" queryTableFieldId="8" dataDxfId="167" totalsRowDxfId="166"/>
    <tableColumn id="9" xr3:uid="{75941281-287C-4E6B-9F5E-801BE4E0BBFD}" uniqueName="9" name="NUM FULL SET" queryTableFieldId="9" dataDxfId="165" totalsRowDxfId="164"/>
    <tableColumn id="10" xr3:uid="{CBDC51D1-5CF1-4AF7-A2AD-5C7136B968ED}" uniqueName="10" name="isSHIPPED" queryTableFieldId="10" dataDxfId="163" totalsRowDxfId="162"/>
    <tableColumn id="11" xr3:uid="{3C27B005-CE14-420D-BC97-288ADB6D0368}" uniqueName="11" name="HASH COLLECTION" queryTableFieldId="11" dataDxfId="161" totalsRowDxfId="160"/>
    <tableColumn id="12" xr3:uid="{9110CB2C-91C3-4154-8CA5-2DADA4B7D411}" uniqueName="12" name="NAME PRODUCT" queryTableFieldId="12" dataDxfId="159" totalsRowDxfId="158"/>
    <tableColumn id="13" xr3:uid="{90531F86-3CC0-4A74-A24F-7D872D53F6E9}" uniqueName="13" name="DESCRIPTION PRODUCT" queryTableFieldId="13" dataDxfId="157" totalsRowDxfId="156"/>
    <tableColumn id="14" xr3:uid="{2154DB83-AB5F-4F8A-9516-9112EFC20278}" uniqueName="14" name="BRAND" queryTableFieldId="14" dataDxfId="155" totalsRowDxfId="154"/>
    <tableColumn id="15" xr3:uid="{E9E41D37-3666-4C88-A927-870DF8549706}" uniqueName="15" name="SUPPLIER" queryTableFieldId="15" dataDxfId="153" totalsRowDxfId="152"/>
    <tableColumn id="16" xr3:uid="{1DE3409F-879C-492E-B4F8-29B70A6FC7B8}" uniqueName="16" name="ARTICLE SUPPLIER" queryTableFieldId="16" dataDxfId="151" totalsRowDxfId="150"/>
    <tableColumn id="17" xr3:uid="{721C9660-5C97-4D0E-89E4-17B401FD0F84}" uniqueName="17" name="ARTICLE INTERNAL" queryTableFieldId="17" dataDxfId="149" totalsRowDxfId="148"/>
    <tableColumn id="18" xr3:uid="{2533A0D1-7B55-47F4-AA96-A6C3F4EBFAEA}" uniqueName="18" name="UNITS" queryTableFieldId="18" dataDxfId="147" totalsRowDxfId="146"/>
    <tableColumn id="19" xr3:uid="{00D1AAD1-964D-48C0-BB59-E56CB75BCB51}" uniqueName="19" name="QUANTITY SET" queryTableFieldId="19" dataDxfId="145" totalsRowDxfId="144"/>
    <tableColumn id="20" xr3:uid="{D426565C-C10A-437E-B01A-91BC16F4B675}" uniqueName="20" name="QUANTITY SHIPPED SET" queryTableFieldId="20" dataDxfId="143" totalsRowDxfId="142"/>
    <tableColumn id="21" xr3:uid="{AFC5E262-A770-4955-8BCC-DD6861BFC129}" uniqueName="21" name="QUANTITY TOTAL" queryTableFieldId="21" dataDxfId="141" totalsRowDxfId="140"/>
    <tableColumn id="22" xr3:uid="{1D95DF30-33C2-49FF-80A1-EBB02994823A}" uniqueName="22" name="QUANTITY SUPPLIER" queryTableFieldId="22" dataDxfId="139" totalsRowDxfId="138"/>
    <tableColumn id="23" xr3:uid="{511E0C5F-5CFD-4EDF-A437-A9D058B026DD}" uniqueName="23" name="PRICE UNIT $PURCHASE" queryTableFieldId="23" dataDxfId="137" totalsRowDxfId="136" dataCellStyle="Финансовый"/>
    <tableColumn id="24" xr3:uid="{C1FDDDCD-E283-41A2-AAC0-C014C473A61C}" uniqueName="24" name="COST PRICE $PURCHASE" queryTableFieldId="24" dataDxfId="135" totalsRowDxfId="134" dataCellStyle="Финансовый"/>
    <tableColumn id="25" xr3:uid="{818A6D8C-EBA1-4A16-BF0B-59653F72BCE4}" uniqueName="25" name="TCP SOURCE" queryTableFieldId="25" dataDxfId="133" totalsRowDxfId="132"/>
    <tableColumn id="26" xr3:uid="{C9B8616F-09F2-490F-AF62-4D6E6D1E1A65}" uniqueName="26" name="COMMENT WORK" queryTableFieldId="26" dataDxfId="131" totalsRowDxfId="130"/>
    <tableColumn id="28" xr3:uid="{2AA7B214-CAF9-4CE4-942B-EF1E3FF98722}" uniqueName="28" name="IMAGE PRODUCT" queryTableFieldId="28" dataDxfId="129" totalsRowDxfId="128"/>
    <tableColumn id="29" xr3:uid="{9FC09D58-909D-48ED-8560-D0FE60D67535}" uniqueName="29" name="COEFFICIENT MARKUP" queryTableFieldId="29" dataDxfId="127" totalsRowDxfId="126"/>
    <tableColumn id="30" xr3:uid="{BD8DAA5E-F542-4FF8-9712-26B71CD200A6}" uniqueName="30" name="PRICE UNIT $SALE" queryTableFieldId="30" dataDxfId="125" totalsRowDxfId="124" dataCellStyle="Финансовый"/>
    <tableColumn id="31" xr3:uid="{E83CD106-0B97-4753-8BF7-35E681B2B86F}" uniqueName="31" name="COST DEAL $SALE" queryTableFieldId="31" dataDxfId="123" totalsRowDxfId="122" dataCellStyle="Финансовый"/>
    <tableColumn id="32" xr3:uid="{BAEAA1AB-9871-4F42-BCDC-B26BBE61BEEB}" uniqueName="32" name="DISCOUNT PERCENT" queryTableFieldId="32" dataDxfId="121" totalsRowDxfId="120"/>
    <tableColumn id="33" xr3:uid="{E2CFB9D9-1C59-476E-B9FB-62B5E9C01D55}" uniqueName="33" name="DISCOUNT MONEY" queryTableFieldId="33" dataDxfId="119" totalsRowDxfId="118"/>
    <tableColumn id="34" xr3:uid="{8C0C03A1-05FD-4BD8-A2B1-8EF84BD1008E}" uniqueName="34" name="FORMULA SPECIFIC COST" queryTableFieldId="34" dataDxfId="117" totalsRowDxfId="116"/>
    <tableColumn id="35" xr3:uid="{12C5116F-4492-4F5C-9A2E-1378B1915F88}" uniqueName="35" name="PRICE UNIT $TOTAL" queryTableFieldId="35" dataDxfId="115" totalsRowDxfId="114" dataCellStyle="Финансовый"/>
    <tableColumn id="36" xr3:uid="{10F79B55-D906-4B97-AA3E-271E7B1C8A4B}" uniqueName="36" name="COST $TOTAL" totalsRowFunction="sum" queryTableFieldId="36" dataDxfId="113" totalsRowDxfId="112" dataCellStyle="Финансовый"/>
    <tableColumn id="37" xr3:uid="{C5E63DF1-F8E4-4EF0-AC37-9F4CC6A16ABB}" uniqueName="37" name="DURATION SALE $TOTAL" queryTableFieldId="37" dataDxfId="111" totalsRowDxfId="110"/>
    <tableColumn id="38" xr3:uid="{7B53041D-6260-419D-BAD3-3EBE19FF1568}" uniqueName="38" name="isSUPPLIED" queryTableFieldId="38" dataDxfId="109" totalsRowDxfId="108"/>
    <tableColumn id="39" xr3:uid="{D4A6342C-5871-4CA9-A661-98624B345000}" uniqueName="39" name="isPROCESSING" queryTableFieldId="39" dataDxfId="107" totalsRowDxfId="106"/>
    <tableColumn id="40" xr3:uid="{A772586E-91D6-4DDE-930D-ACBD2A4B99AF}" uniqueName="40" name="COMMENT CUSTOMER" totalsRowFunction="count" queryTableFieldId="40" dataDxfId="105" totalsRowDxfId="104"/>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72" tableType="queryTable" totalsRowShown="0" headerRowDxfId="69">
  <autoFilter ref="A1:E172" xr:uid="{3A433A3F-ADAB-41AD-A83C-B8719B434348}"/>
  <tableColumns count="5">
    <tableColumn id="1" xr3:uid="{C487BB0B-A74A-4616-AA9E-407431A85BFC}" uniqueName="1" name="IDnum" queryTableFieldId="1" dataDxfId="68"/>
    <tableColumn id="3" xr3:uid="{F351F0EA-2D55-4541-847A-8F6662601956}" uniqueName="3" name="HASH COLLECTION" queryTableFieldId="3"/>
    <tableColumn id="2" xr3:uid="{168C039B-A25B-49BE-91E6-DAEAAADDE735}" uniqueName="2" name="IDprojectfull" queryTableFieldId="2" dataDxfId="67"/>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66">
  <autoFilter ref="A1:B88" xr:uid="{4E887490-69AA-4135-92BA-FDCE6065A4CB}"/>
  <tableColumns count="2">
    <tableColumn id="1" xr3:uid="{0DBAC820-4087-47C0-959D-632D92880DC9}" uniqueName="1" name="IDvendor" queryTableFieldId="1" dataDxfId="65"/>
    <tableColumn id="2" xr3:uid="{ACA97C16-8ED5-48D0-9EFD-86BF94F0564C}" uniqueName="2" name="BRAND" queryTableFieldId="2" dataDxfId="64"/>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63">
  <autoFilter ref="A1:B48" xr:uid="{968D7691-FE5D-4204-AC5B-CA00F9A9E0CA}"/>
  <tableColumns count="2">
    <tableColumn id="1" xr3:uid="{2D9F11F8-FFAE-4157-A076-BC36BB0461A3}" uniqueName="1" name="IDsupplier" queryTableFieldId="3" dataDxfId="62"/>
    <tableColumn id="2" xr3:uid="{EBE9B7B3-3339-42ED-8C41-106A413D6B38}" uniqueName="2" name="COMPANY_LABEL" queryTableFieldId="2" dataDxfId="61"/>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60">
  <autoFilter ref="A1:B5" xr:uid="{650C369D-4EF9-4630-BBCA-A757CC89C26E}"/>
  <tableColumns count="2">
    <tableColumn id="1" xr3:uid="{10BDB9F9-CCA3-439E-BF2C-EC6B9B458BCC}" uniqueName="1" name="IDnum" queryTableFieldId="1"/>
    <tableColumn id="2" xr3:uid="{0D5BE12D-F314-42B9-A7B7-69139DB2E84E}" uniqueName="2" name="UNITS" queryTableFieldId="2" dataDxfId="59"/>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49" headerRowDxfId="58" dataDxfId="57" tableBorderDxfId="56">
  <autoFilter ref="A1:Q49" xr:uid="{759773E5-6BB4-4A7F-A27E-2BF5D48F2E04}">
    <filterColumn colId="0">
      <filters>
        <filter val="TabSpecificationWork_1"/>
      </filters>
    </filterColumn>
    <filterColumn colId="2">
      <filters>
        <filter val="COST PRICE VAT $PURCHASE"/>
      </filters>
    </filterColumn>
  </autoFilter>
  <tableColumns count="17">
    <tableColumn id="1" xr3:uid="{E6BB4E5D-0C94-42D4-8C3E-4A911A823492}" name="TABLE NAME" totalsRowLabel="Итог" dataDxfId="55" totalsRowDxfId="54"/>
    <tableColumn id="9" xr3:uid="{8E76A267-9A59-489D-8043-2804945CE301}" name="NUM COLUMN" totalsRowFunction="count" dataDxfId="53" totalsRowDxfId="52"/>
    <tableColumn id="2" xr3:uid="{BEB7F216-285D-4701-BA72-477EC26D3B62}" name="СOLUMNS NAME" dataDxfId="51" totalsRowDxfId="50"/>
    <tableColumn id="4" xr3:uid="{A7B1D50C-5D59-4B32-A7C3-9AA74B7404D4}" name="COLUMN NAME RUS" dataDxfId="49" totalsRowDxfId="48"/>
    <tableColumn id="6" xr3:uid="{1416325B-2E3B-4C34-BB33-AAB8A31EF82D}" name="TYPE DATASET" dataDxfId="47" totalsRowDxfId="46"/>
    <tableColumn id="5" xr3:uid="{CA8100E0-9D72-4767-B0B8-4AD4DE71B1E3}" name="RANGE VALUES" dataDxfId="45" totalsRowDxfId="44"/>
    <tableColumn id="13" xr3:uid="{3A92C78A-FF7E-4E7E-8419-C0B9B7A58E47}" name="UNIQUE FLAG" dataDxfId="43" totalsRowDxfId="42"/>
    <tableColumn id="8" xr3:uid="{2396727F-9D04-4743-BB44-C8C0E33C757B}" name="NULL VALUE" dataDxfId="41" totalsRowDxfId="40"/>
    <tableColumn id="12" xr3:uid="{C4725C6D-3039-490B-BB41-A5171ECFACD8}" name="isAUTOMATIC" dataDxfId="39" totalsRowDxfId="38"/>
    <tableColumn id="7" xr3:uid="{40580CDE-6E19-4C7A-9755-F526449CFCB9}" name="MODIFY FLAG" dataDxfId="37" totalsRowDxfId="36"/>
    <tableColumn id="10" xr3:uid="{CB15A236-A81C-4BD2-9F8C-B1E9D304D57D}" name="HANDBOOK SOURCE" dataDxfId="35" totalsRowDxfId="34"/>
    <tableColumn id="15" xr3:uid="{FEB2FEB8-B9A8-4D97-89C7-C11A7ECC74BF}" name="DROPDOWN LIST" dataDxfId="33" totalsRowDxfId="32"/>
    <tableColumn id="14" xr3:uid="{39517DFD-8E84-4512-AD3B-8EEF3F2A14BD}" name="EXCEL TYPE" dataDxfId="31" totalsRowDxfId="30"/>
    <tableColumn id="16" xr3:uid="{4AF43F77-9EB9-4FE8-A6CD-1C506E0C165A}" name="VERTICAL ALIGNMENT" totalsRowFunction="count" dataDxfId="29" totalsRowDxfId="28"/>
    <tableColumn id="17" xr3:uid="{F3337072-6BBA-4D07-99C5-D8BE0F50993F}" name="HORIZONTAL ALIGNMENT" dataDxfId="27" totalsRowDxfId="26"/>
    <tableColumn id="18" xr3:uid="{D292290F-9084-4A4E-B39B-7270E72B4D63}" name="TRANSFER TEXT" dataDxfId="25" totalsRowDxfId="24"/>
    <tableColumn id="3" xr3:uid="{99264B45-CF4D-4029-A10F-DE7DEC72AEAA}" name="COMMENT" totalsRowFunction="count" dataDxfId="23" totalsRowDxfId="22"/>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7" totalsRowShown="0" headerRowDxfId="21">
  <autoFilter ref="A1:D7" xr:uid="{F15A7DFF-0CC5-4C4C-9A2B-B1F378111DBF}"/>
  <tableColumns count="4">
    <tableColumn id="1" xr3:uid="{EADDD526-A1BB-49E7-8C12-FF9F560ED170}" name="IDnum" dataDxfId="20"/>
    <tableColumn id="4" xr3:uid="{98DCC295-85E8-47DA-AFBD-C60F8D2289C3}" name="IDconfig" dataDxfId="19"/>
    <tableColumn id="2" xr3:uid="{DA12A670-2981-4AD6-9AD6-55CE1D69B953}" name="CONFIG_JSON" dataDxfId="18"/>
    <tableColumn id="3" xr3:uid="{A974DE38-498A-4F17-8A6B-82651D251480}" name="COMMENT" dataDxfId="17"/>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0T06:18:57.01" personId="{546BDB3A-668A-4D8C-87A8-0DE14755FBE5}" id="{F6344F8B-2B3A-40F5-94E4-16B7A498AB48}">
    <text>Уникальный порядковый номер позиции</text>
  </threadedComment>
  <threadedComment ref="B1" dT="2025-09-10T06:19:15.78" personId="{546BDB3A-668A-4D8C-87A8-0DE14755FBE5}" id="{E3D9B2AC-BF73-467B-B4DB-9A01321331B9}">
    <text>Порядковый номер позиции из спецификации заказчика</text>
  </threadedComment>
  <threadedComment ref="C1" dT="2025-09-10T06:19:43.07" personId="{546BDB3A-668A-4D8C-87A8-0DE14755FBE5}" id="{8F981E2E-A069-4F7D-B569-584150EAACC6}">
    <text>Полный номер проекта из таблицы реестр проектов</text>
  </threadedComment>
  <threadedComment ref="D1" dT="2025-09-10T06:19:57.74" personId="{546BDB3A-668A-4D8C-87A8-0DE14755FBE5}" id="{7960CCAA-C85E-4532-A46A-96785E4D240A}">
    <text>ВЫЧИСЛЯЕМЫЙ СТОЛБЕЦ, РУКАМИ НЕ ЗАПОЛНЯТЬ ! Номер заказа в рамках проекта из списка заказов</text>
  </threadedComment>
  <threadedComment ref="E1" dT="2025-09-10T06:20:21.43" personId="{546BDB3A-668A-4D8C-87A8-0DE14755FBE5}" id="{FE809EA2-7E50-4AEF-ADD4-15BD881CFCA5}">
    <text>Версия коллекции - число. Под КОЛЛЕКЦИЕЙ понимается объект данных который описывает стока, она же одна запись датасета</text>
  </threadedComment>
  <threadedComment ref="F1" dT="2025-09-10T06:22:14.10" personId="{546BDB3A-668A-4D8C-87A8-0DE14755FBE5}" id="{FE5A4F88-C626-4813-B9F6-AC623AC19292}">
    <text>Название комплекта</text>
  </threadedComment>
  <threadedComment ref="G1" dT="2025-09-10T06:20:38.79" personId="{546BDB3A-668A-4D8C-87A8-0DE14755FBE5}" id="{5D52B54C-0708-4CA1-A0BC-47334CF09CE6}">
    <text xml:space="preserve">Свободный (число или текст - латиницей) идентификатор комплекта
</text>
  </threadedComment>
  <threadedComment ref="H1" dT="2025-09-10T06:21:08.34" personId="{546BDB3A-668A-4D8C-87A8-0DE14755FBE5}" id="{70842CBF-5120-4049-9941-DC7047DC8A17}">
    <text>Порядковый номер позиции в комплекте</text>
  </threadedComment>
  <threadedComment ref="I1" dT="2025-09-10T06:21:57.11" personId="{546BDB3A-668A-4D8C-87A8-0DE14755FBE5}" id="{F4A88E00-01BF-4A9D-BB00-CA966B2636D4}">
    <text>Автоматически заполняемый столбец.
Полный порядковый номер позиции, состоящий из номер комплекта и номера порядкового в комплекте</text>
  </threadedComment>
  <threadedComment ref="J1" dT="2025-10-15T06:44:08.57" personId="{546BDB3A-668A-4D8C-87A8-0DE14755FBE5}" id="{890F2321-773B-4860-984E-8BC625841E0A}">
    <text>Признак поставки позиции в данном заказе</text>
  </threadedComment>
  <threadedComment ref="K1" dT="2025-09-10T06:22:32.64" personId="{546BDB3A-668A-4D8C-87A8-0DE14755FBE5}" id="{2C22FD44-0F6F-4613-A453-FA7B515CF251}">
    <text>Автоматически заполняемый столбец.
Уникальное хэш значение, характеризуемое текущую коллекцию</text>
  </threadedComment>
  <threadedComment ref="L1" dT="2025-09-10T06:22:51.38" personId="{546BDB3A-668A-4D8C-87A8-0DE14755FBE5}" id="{BE27801C-0731-473F-8682-66560F0BB1E4}">
    <text>Наименование позиции</text>
  </threadedComment>
  <threadedComment ref="M1" dT="2025-09-10T06:23:14.32" personId="{546BDB3A-668A-4D8C-87A8-0DE14755FBE5}" id="{BF2CA57A-7DA7-402D-98F7-C3C603B6B406}">
    <text>Технические характеристики позиции</text>
  </threadedComment>
  <threadedComment ref="N1" dT="2025-09-10T06:24:28.46" personId="{546BDB3A-668A-4D8C-87A8-0DE14755FBE5}" id="{04599C53-D9FA-49F2-923B-EDB75AD601A2}">
    <text>Название бренда производителя</text>
  </threadedComment>
  <threadedComment ref="O1" dT="2025-09-10T06:24:46.85" personId="{546BDB3A-668A-4D8C-87A8-0DE14755FBE5}" id="{6F577B15-DEC3-4280-BB97-E6CA976D117B}">
    <text>Название поставщика</text>
  </threadedComment>
  <threadedComment ref="P1" dT="2025-09-10T06:26:07.88" personId="{546BDB3A-668A-4D8C-87A8-0DE14755FBE5}" id="{558DC68A-31E6-40BF-8F27-3467FE25D98D}">
    <text>Артикул поставщика</text>
  </threadedComment>
  <threadedComment ref="Q1" dT="2025-09-10T06:26:45.10" personId="{546BDB3A-668A-4D8C-87A8-0DE14755FBE5}" id="{397FFE0C-F713-4E2F-B787-8428280F9203}">
    <text>Артикул МАС/Горизонт</text>
  </threadedComment>
  <threadedComment ref="R1" dT="2025-09-10T06:28:10.67" personId="{546BDB3A-668A-4D8C-87A8-0DE14755FBE5}" id="{635CA893-B3CA-47BA-8F79-B4074D2943AC}">
    <text>Единицы измерения из справочника</text>
  </threadedComment>
  <threadedComment ref="S1" dT="2025-09-10T06:28:26.65" personId="{546BDB3A-668A-4D8C-87A8-0DE14755FBE5}" id="{8620B4C4-3914-40DF-A218-4F9092ACBCCC}">
    <text>Количество единиц данной позиции в комплекте</text>
  </threadedComment>
  <threadedComment ref="T1" dT="2025-09-10T06:28:45.20" personId="{546BDB3A-668A-4D8C-87A8-0DE14755FBE5}" id="{0B7C2C1D-3BA7-464A-8F40-BB11C8377876}">
    <text>Количество комплектов в поставке</text>
  </threadedComment>
  <threadedComment ref="U1" dT="2025-09-10T06:28:59.02" personId="{546BDB3A-668A-4D8C-87A8-0DE14755FBE5}" id="{A6B4B6DF-DD2A-463F-A7C3-7F87B17D3385}">
    <text>Автоматически заполняемый столбец.
Итоговое количество по данной позиции в поставке</text>
  </threadedComment>
  <threadedComment ref="V1" dT="2025-09-10T06:29:14.46" personId="{546BDB3A-668A-4D8C-87A8-0DE14755FBE5}" id="{2815824D-89DB-4994-9B34-7D12489A7D8C}">
    <text>Количество в наличии у поставщика</text>
  </threadedComment>
  <threadedComment ref="W1" dT="2025-09-10T06:29:28.82" personId="{546BDB3A-668A-4D8C-87A8-0DE14755FBE5}" id="{BC32CEEA-6CCC-42A0-9D55-CD12DF19372E}">
    <text>Цена за единицу - закупка</text>
  </threadedComment>
  <threadedComment ref="X1" dT="2026-09-08T09:40:45.61" personId="{546BDB3A-668A-4D8C-87A8-0DE14755FBE5}" id="{DD218251-CF17-4800-B705-3E507BD24335}">
    <tex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ext>
  </threadedComment>
  <threadedComment ref="Y1" dT="2025-09-10T06:29:42.04" personId="{546BDB3A-668A-4D8C-87A8-0DE14755FBE5}" id="{1A2ACEFF-E713-463A-9D5B-54184A4CD29D}">
    <text xml:space="preserve">Себестоимость без НДС - закупка
Автоматически заполняемый столбец
</text>
  </threadedComment>
  <threadedComment ref="Z1" dT="2026-09-16T14:30:52.55" personId="{546BDB3A-668A-4D8C-87A8-0DE14755FBE5}" id="{A2183C8D-B3AF-4976-97A5-50EF84A0AF59}">
    <text>Себестоимость с НДС - закупка
Автоматически заполняемый столбец</text>
  </threadedComment>
  <threadedComment ref="AA1" dT="2025-09-10T06:34:12.78" personId="{546BDB3A-668A-4D8C-87A8-0DE14755FBE5}" id="{6339678F-4C5D-4328-BE94-531FC243752F}">
    <text>Идентификатор спецификации поставщика/дистрибьютера, на основе которой сформирована цена позиции. Из справочника ТКП поставщиков</text>
  </threadedComment>
  <threadedComment ref="AB1" dT="2025-09-10T06:30:32.88" personId="{546BDB3A-668A-4D8C-87A8-0DE14755FBE5}" id="{9A7C07C3-6A21-4EE8-BEF0-B48F9D85045A}">
    <text>Комментарии внутренний - ТОЛЬКО ДЛЯ ВНУТРЕННЕГО СЛУЖЕБНОГО ПОЛЬЗОВАНИЯ. Полезная, дополнительная информация по позиции в свободной форме</text>
  </threadedComment>
  <threadedComment ref="AC1" dT="2026-09-08T18:25:15.92" personId="{546BDB3A-668A-4D8C-87A8-0DE14755FBE5}" id="{0FD87E57-4A0E-4B18-B9A5-14EFBAEA0360}">
    <text>Прямая ссылка на позицию на сайте производителя/поставщика</text>
  </threadedComment>
  <threadedComment ref="AD1" dT="2025-09-10T06:42:06.36" personId="{546BDB3A-668A-4D8C-87A8-0DE14755FBE5}" id="{FC3D7DDB-A80F-4FFB-9267-3E86088C3010}">
    <text>Прямая ссылка на позицию на сайте производителя/поставщика</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Зарезервирована для будущих изменений в методиках расчета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Итоговая НДС по позиции - реализация
Автоматически заполняемый столбец</text>
  </threadedComment>
  <threadedComment ref="S1" dT="2026-09-08T11:09:23.14" personId="{546BDB3A-668A-4D8C-87A8-0DE14755FBE5}" id="{8E0C7296-1BDD-4B47-A850-27FD40517584}">
    <text>Итоговая (реализация) стоимость С НДС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Комментарии, открытый - для заказчика, полезная информация по позиции в свободной форме</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2138-C99F-4E5C-BA1C-A2F685F03BF8}">
  <dimension ref="A1:AD10"/>
  <sheetViews>
    <sheetView zoomScaleNormal="100" workbookViewId="0">
      <pane ySplit="1" topLeftCell="A2" activePane="bottomLeft" state="frozen"/>
      <selection pane="bottomLeft" activeCell="M2" sqref="M2"/>
    </sheetView>
  </sheetViews>
  <sheetFormatPr defaultRowHeight="14.4" outlineLevelCol="2" x14ac:dyDescent="0.3"/>
  <cols>
    <col min="1" max="1" width="7.5546875" hidden="1" customWidth="1" outlineLevel="2"/>
    <col min="2" max="2" width="9" hidden="1" customWidth="1" outlineLevel="2"/>
    <col min="3" max="3" width="21.6640625" hidden="1" customWidth="1" outlineLevel="2"/>
    <col min="4" max="4" width="8.6640625" hidden="1" customWidth="1" outlineLevel="2"/>
    <col min="5" max="5" width="13.33203125" hidden="1" customWidth="1" outlineLevel="2"/>
    <col min="6" max="6" width="14.88671875" customWidth="1" outlineLevel="1" collapsed="1"/>
    <col min="7" max="7" width="7.5546875" customWidth="1" outlineLevel="1"/>
    <col min="8" max="8" width="11.33203125" customWidth="1" outlineLevel="1"/>
    <col min="9" max="9" width="10.6640625" customWidth="1"/>
    <col min="10" max="10" width="12.6640625" customWidth="1"/>
    <col min="11" max="11" width="36.44140625" hidden="1" customWidth="1"/>
    <col min="12" max="12" width="28.6640625" customWidth="1"/>
    <col min="13" max="13" width="54.44140625" customWidth="1"/>
    <col min="14" max="15" width="18.6640625" hidden="1" customWidth="1" outlineLevel="1"/>
    <col min="16" max="17" width="20.6640625" hidden="1" customWidth="1" outlineLevel="1"/>
    <col min="18" max="18" width="9" customWidth="1" collapsed="1"/>
    <col min="19" max="19" width="10.6640625" customWidth="1"/>
    <col min="20" max="20" width="11.6640625" customWidth="1"/>
    <col min="21" max="21" width="12.33203125" customWidth="1"/>
    <col min="22" max="22" width="12.5546875" customWidth="1"/>
    <col min="23" max="23" width="14.6640625" customWidth="1"/>
    <col min="24" max="24" width="15.109375" customWidth="1"/>
    <col min="25" max="25" width="16.6640625" customWidth="1"/>
    <col min="26" max="26" width="16" bestFit="1" customWidth="1"/>
    <col min="27" max="30" width="25.77734375" customWidth="1"/>
  </cols>
  <sheetData>
    <row r="1" spans="1:30" ht="43.2" x14ac:dyDescent="0.3">
      <c r="A1" s="4" t="s">
        <v>0</v>
      </c>
      <c r="B1" s="4" t="s">
        <v>1</v>
      </c>
      <c r="C1" s="4" t="s">
        <v>2</v>
      </c>
      <c r="D1" s="11"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611</v>
      </c>
      <c r="Y1" s="4" t="s">
        <v>23</v>
      </c>
      <c r="Z1" s="4" t="s">
        <v>699</v>
      </c>
      <c r="AA1" s="4" t="s">
        <v>24</v>
      </c>
      <c r="AB1" s="4" t="s">
        <v>25</v>
      </c>
      <c r="AC1" s="4" t="s">
        <v>26</v>
      </c>
      <c r="AD1" s="4" t="s">
        <v>27</v>
      </c>
    </row>
    <row r="2" spans="1:30" ht="187.2" x14ac:dyDescent="0.3">
      <c r="A2" s="69" t="s">
        <v>632</v>
      </c>
      <c r="B2" s="69" t="s">
        <v>633</v>
      </c>
      <c r="C2" s="70" t="s">
        <v>634</v>
      </c>
      <c r="D2" s="69" t="str">
        <f>MID(TabSpecificationWork_1[[#This Row],[NUM PROJECT]], SEARCH("-N",TabSpecificationWork_1[[#This Row],[NUM PROJECT]])+2, SEARCH("-",TabSpecificationWork_1[[#This Row],[NUM PROJECT]],SEARCH("-",TabSpecificationWork_1[[#This Row],[NUM PROJECT]])+1) - (SEARCH("-N",TabSpecificationWork_1[[#This Row],[NUM PROJECT]])+2))</f>
        <v>1</v>
      </c>
      <c r="E2" s="69">
        <v>1</v>
      </c>
      <c r="F2" s="5" t="s">
        <v>635</v>
      </c>
      <c r="G2" s="69">
        <v>1</v>
      </c>
      <c r="H2" s="69">
        <v>1</v>
      </c>
      <c r="I2" s="71" t="str">
        <f>CONCATENATE(TabSpecificationWork_1[[#This Row],[IDset]],".",TabSpecificationWork_1[[#This Row],[NUM SEQUENCE SET]])</f>
        <v>1.1</v>
      </c>
      <c r="J2" s="72" t="s">
        <v>30</v>
      </c>
      <c r="K2" s="73" t="str">
        <f>LOWER(CONCATENATE(TabSpecificationWork_1[[#This Row],[NUM PROJECT]],"-","ver_",TabSpecificationWork_1[[#This Row],[VER COLLECTION]],"-","set_",TabSpecificationWork_1[[#This Row],[NUM FULL SET]],"-",TabSpecificationWork_1[[#This Row],[isSHIPPED]]))</f>
        <v>8/2026-n1-горизонт-ver_1-set_1.1-true</v>
      </c>
      <c r="L2" s="74" t="s">
        <v>636</v>
      </c>
      <c r="M2" s="5" t="s">
        <v>704</v>
      </c>
      <c r="N2" s="75" t="s">
        <v>388</v>
      </c>
      <c r="O2" s="75" t="s">
        <v>388</v>
      </c>
      <c r="P2" s="75" t="s">
        <v>633</v>
      </c>
      <c r="Q2" s="75" t="s">
        <v>633</v>
      </c>
      <c r="R2" s="75" t="s">
        <v>36</v>
      </c>
      <c r="S2" s="69">
        <v>1</v>
      </c>
      <c r="T2" s="69">
        <v>1</v>
      </c>
      <c r="U2" s="69">
        <f>TabSpecificationWork_1[[#This Row],[QUANTITY SET]]*TabSpecificationWork_1[[#This Row],[QUANTITY SHIPPED SET]]</f>
        <v>1</v>
      </c>
      <c r="V2" s="69">
        <v>1</v>
      </c>
      <c r="W2" s="76">
        <v>78000</v>
      </c>
      <c r="X2" s="77">
        <v>0</v>
      </c>
      <c r="Y2" s="76">
        <f>TabSpecificationWork_1[[#This Row],[QUANTITY TOTAL]]*TabSpecificationWork_1[[#This Row],[PRICE UNIT $PURCHASE]]</f>
        <v>78000</v>
      </c>
      <c r="Z2" s="76">
        <f>TabSpecificationWork_1[[#This Row],[VAT ADD PRICE $PURCHASE]]*TabSpecificationWork_1[[#This Row],[QUANTITY TOTAL]]+TabSpecificationWork_1[[#This Row],[COST PRICE $PURCHASE]]</f>
        <v>78000</v>
      </c>
      <c r="AA2" s="78" t="s">
        <v>633</v>
      </c>
      <c r="AB2" s="5" t="s">
        <v>633</v>
      </c>
      <c r="AC2" s="5" t="s">
        <v>633</v>
      </c>
      <c r="AD2" s="5" t="s">
        <v>633</v>
      </c>
    </row>
    <row r="3" spans="1:30" ht="244.8" x14ac:dyDescent="0.3">
      <c r="A3" s="69" t="s">
        <v>184</v>
      </c>
      <c r="B3" s="69" t="s">
        <v>633</v>
      </c>
      <c r="C3" s="70" t="s">
        <v>634</v>
      </c>
      <c r="D3" s="69" t="str">
        <f>MID(TabSpecificationWork_1[[#This Row],[NUM PROJECT]], SEARCH("-N",TabSpecificationWork_1[[#This Row],[NUM PROJECT]])+2, SEARCH("-",TabSpecificationWork_1[[#This Row],[NUM PROJECT]],SEARCH("-",TabSpecificationWork_1[[#This Row],[NUM PROJECT]])+1) - (SEARCH("-N",TabSpecificationWork_1[[#This Row],[NUM PROJECT]])+2))</f>
        <v>1</v>
      </c>
      <c r="E3" s="69">
        <v>1</v>
      </c>
      <c r="F3" s="5" t="s">
        <v>635</v>
      </c>
      <c r="G3" s="69">
        <v>1</v>
      </c>
      <c r="H3" s="69">
        <v>2</v>
      </c>
      <c r="I3" s="71" t="str">
        <f>CONCATENATE(TabSpecificationWork_1[[#This Row],[IDset]],".",TabSpecificationWork_1[[#This Row],[NUM SEQUENCE SET]])</f>
        <v>1.2</v>
      </c>
      <c r="J3" s="72" t="s">
        <v>30</v>
      </c>
      <c r="K3" s="73" t="str">
        <f>LOWER(CONCATENATE(TabSpecificationWork_1[[#This Row],[NUM PROJECT]],"-","ver_",TabSpecificationWork_1[[#This Row],[VER COLLECTION]],"-","set_",TabSpecificationWork_1[[#This Row],[NUM FULL SET]],"-",TabSpecificationWork_1[[#This Row],[isSHIPPED]]))</f>
        <v>8/2026-n1-горизонт-ver_1-set_1.2-true</v>
      </c>
      <c r="L3" s="74" t="s">
        <v>637</v>
      </c>
      <c r="M3" s="5" t="s">
        <v>638</v>
      </c>
      <c r="N3" s="75" t="s">
        <v>388</v>
      </c>
      <c r="O3" s="75" t="s">
        <v>388</v>
      </c>
      <c r="P3" s="75" t="s">
        <v>633</v>
      </c>
      <c r="Q3" s="75" t="s">
        <v>633</v>
      </c>
      <c r="R3" s="75" t="s">
        <v>36</v>
      </c>
      <c r="S3" s="69">
        <v>1</v>
      </c>
      <c r="T3" s="69">
        <v>1</v>
      </c>
      <c r="U3" s="69">
        <f>TabSpecificationWork_1[[#This Row],[QUANTITY SET]]*TabSpecificationWork_1[[#This Row],[QUANTITY SHIPPED SET]]</f>
        <v>1</v>
      </c>
      <c r="V3" s="69">
        <v>1</v>
      </c>
      <c r="W3" s="76">
        <v>25000</v>
      </c>
      <c r="X3" s="77">
        <v>0</v>
      </c>
      <c r="Y3" s="76">
        <f>TabSpecificationWork_1[[#This Row],[QUANTITY TOTAL]]*TabSpecificationWork_1[[#This Row],[PRICE UNIT $PURCHASE]]</f>
        <v>25000</v>
      </c>
      <c r="Z3" s="76">
        <f>TabSpecificationWork_1[[#This Row],[VAT ADD PRICE $PURCHASE]]*TabSpecificationWork_1[[#This Row],[QUANTITY TOTAL]]+TabSpecificationWork_1[[#This Row],[COST PRICE $PURCHASE]]</f>
        <v>25000</v>
      </c>
      <c r="AA3" s="78" t="s">
        <v>633</v>
      </c>
      <c r="AB3" s="5" t="s">
        <v>633</v>
      </c>
      <c r="AC3" s="5" t="s">
        <v>633</v>
      </c>
      <c r="AD3" s="5" t="s">
        <v>633</v>
      </c>
    </row>
    <row r="4" spans="1:30" ht="273.60000000000002" x14ac:dyDescent="0.3">
      <c r="A4" s="69" t="s">
        <v>169</v>
      </c>
      <c r="B4" s="69" t="s">
        <v>633</v>
      </c>
      <c r="C4" s="70" t="s">
        <v>634</v>
      </c>
      <c r="D4" s="69" t="str">
        <f>MID(TabSpecificationWork_1[[#This Row],[NUM PROJECT]], SEARCH("-N",TabSpecificationWork_1[[#This Row],[NUM PROJECT]])+2, SEARCH("-",TabSpecificationWork_1[[#This Row],[NUM PROJECT]],SEARCH("-",TabSpecificationWork_1[[#This Row],[NUM PROJECT]])+1) - (SEARCH("-N",TabSpecificationWork_1[[#This Row],[NUM PROJECT]])+2))</f>
        <v>1</v>
      </c>
      <c r="E4" s="69">
        <v>1</v>
      </c>
      <c r="F4" s="5" t="s">
        <v>635</v>
      </c>
      <c r="G4" s="69">
        <v>1</v>
      </c>
      <c r="H4" s="69">
        <v>3</v>
      </c>
      <c r="I4" s="71" t="str">
        <f>CONCATENATE(TabSpecificationWork_1[[#This Row],[IDset]],".",TabSpecificationWork_1[[#This Row],[NUM SEQUENCE SET]])</f>
        <v>1.3</v>
      </c>
      <c r="J4" s="72" t="s">
        <v>30</v>
      </c>
      <c r="K4" s="73" t="str">
        <f>LOWER(CONCATENATE(TabSpecificationWork_1[[#This Row],[NUM PROJECT]],"-","ver_",TabSpecificationWork_1[[#This Row],[VER COLLECTION]],"-","set_",TabSpecificationWork_1[[#This Row],[NUM FULL SET]],"-",TabSpecificationWork_1[[#This Row],[isSHIPPED]]))</f>
        <v>8/2026-n1-горизонт-ver_1-set_1.3-true</v>
      </c>
      <c r="L4" s="74" t="s">
        <v>639</v>
      </c>
      <c r="M4" s="5" t="s">
        <v>640</v>
      </c>
      <c r="N4" s="75" t="s">
        <v>388</v>
      </c>
      <c r="O4" s="75" t="s">
        <v>388</v>
      </c>
      <c r="P4" s="75" t="s">
        <v>633</v>
      </c>
      <c r="Q4" s="75" t="s">
        <v>633</v>
      </c>
      <c r="R4" s="75" t="s">
        <v>36</v>
      </c>
      <c r="S4" s="69">
        <v>1</v>
      </c>
      <c r="T4" s="69">
        <v>1</v>
      </c>
      <c r="U4" s="69">
        <f>TabSpecificationWork_1[[#This Row],[QUANTITY SET]]*TabSpecificationWork_1[[#This Row],[QUANTITY SHIPPED SET]]</f>
        <v>1</v>
      </c>
      <c r="V4" s="69">
        <v>1</v>
      </c>
      <c r="W4" s="76">
        <v>46000</v>
      </c>
      <c r="X4" s="77">
        <v>0</v>
      </c>
      <c r="Y4" s="76">
        <f>TabSpecificationWork_1[[#This Row],[QUANTITY TOTAL]]*TabSpecificationWork_1[[#This Row],[PRICE UNIT $PURCHASE]]</f>
        <v>46000</v>
      </c>
      <c r="Z4" s="76">
        <f>TabSpecificationWork_1[[#This Row],[VAT ADD PRICE $PURCHASE]]*TabSpecificationWork_1[[#This Row],[QUANTITY TOTAL]]+TabSpecificationWork_1[[#This Row],[COST PRICE $PURCHASE]]</f>
        <v>46000</v>
      </c>
      <c r="AA4" s="78" t="s">
        <v>633</v>
      </c>
      <c r="AB4" s="5" t="s">
        <v>633</v>
      </c>
      <c r="AC4" s="5" t="s">
        <v>633</v>
      </c>
      <c r="AD4" s="5"/>
    </row>
    <row r="5" spans="1:30" ht="172.8" x14ac:dyDescent="0.3">
      <c r="A5" s="69" t="s">
        <v>146</v>
      </c>
      <c r="B5" s="69" t="s">
        <v>633</v>
      </c>
      <c r="C5" s="70" t="s">
        <v>634</v>
      </c>
      <c r="D5" s="69" t="str">
        <f>MID(TabSpecificationWork_1[[#This Row],[NUM PROJECT]], SEARCH("-N",TabSpecificationWork_1[[#This Row],[NUM PROJECT]])+2, SEARCH("-",TabSpecificationWork_1[[#This Row],[NUM PROJECT]],SEARCH("-",TabSpecificationWork_1[[#This Row],[NUM PROJECT]])+1) - (SEARCH("-N",TabSpecificationWork_1[[#This Row],[NUM PROJECT]])+2))</f>
        <v>1</v>
      </c>
      <c r="E5" s="69">
        <v>1</v>
      </c>
      <c r="F5" s="5" t="s">
        <v>635</v>
      </c>
      <c r="G5" s="69">
        <v>1</v>
      </c>
      <c r="H5" s="69">
        <v>4</v>
      </c>
      <c r="I5" s="71" t="str">
        <f>CONCATENATE(TabSpecificationWork_1[[#This Row],[IDset]],".",TabSpecificationWork_1[[#This Row],[NUM SEQUENCE SET]])</f>
        <v>1.4</v>
      </c>
      <c r="J5" s="72" t="s">
        <v>30</v>
      </c>
      <c r="K5" s="73" t="str">
        <f>LOWER(CONCATENATE(TabSpecificationWork_1[[#This Row],[NUM PROJECT]],"-","ver_",TabSpecificationWork_1[[#This Row],[VER COLLECTION]],"-","set_",TabSpecificationWork_1[[#This Row],[NUM FULL SET]],"-",TabSpecificationWork_1[[#This Row],[isSHIPPED]]))</f>
        <v>8/2026-n1-горизонт-ver_1-set_1.4-true</v>
      </c>
      <c r="L5" s="74" t="s">
        <v>641</v>
      </c>
      <c r="M5" s="5" t="s">
        <v>642</v>
      </c>
      <c r="N5" s="75" t="s">
        <v>388</v>
      </c>
      <c r="O5" s="75" t="s">
        <v>388</v>
      </c>
      <c r="P5" s="75" t="s">
        <v>633</v>
      </c>
      <c r="Q5" s="75" t="s">
        <v>633</v>
      </c>
      <c r="R5" s="75" t="s">
        <v>36</v>
      </c>
      <c r="S5" s="69">
        <v>1</v>
      </c>
      <c r="T5" s="69">
        <v>1</v>
      </c>
      <c r="U5" s="69">
        <f>TabSpecificationWork_1[[#This Row],[QUANTITY SET]]*TabSpecificationWork_1[[#This Row],[QUANTITY SHIPPED SET]]</f>
        <v>1</v>
      </c>
      <c r="V5" s="69">
        <v>1</v>
      </c>
      <c r="W5" s="76">
        <v>50000</v>
      </c>
      <c r="X5" s="77">
        <v>0</v>
      </c>
      <c r="Y5" s="76">
        <f>TabSpecificationWork_1[[#This Row],[QUANTITY TOTAL]]*TabSpecificationWork_1[[#This Row],[PRICE UNIT $PURCHASE]]</f>
        <v>50000</v>
      </c>
      <c r="Z5" s="76">
        <f>TabSpecificationWork_1[[#This Row],[VAT ADD PRICE $PURCHASE]]*TabSpecificationWork_1[[#This Row],[QUANTITY TOTAL]]+TabSpecificationWork_1[[#This Row],[COST PRICE $PURCHASE]]</f>
        <v>50000</v>
      </c>
      <c r="AA5" s="78" t="s">
        <v>633</v>
      </c>
      <c r="AB5" s="5" t="s">
        <v>633</v>
      </c>
      <c r="AC5" s="5" t="s">
        <v>633</v>
      </c>
      <c r="AD5" s="5"/>
    </row>
    <row r="6" spans="1:30" ht="187.2" x14ac:dyDescent="0.3">
      <c r="A6" s="69" t="s">
        <v>191</v>
      </c>
      <c r="B6" s="69" t="s">
        <v>633</v>
      </c>
      <c r="C6" s="70" t="s">
        <v>634</v>
      </c>
      <c r="D6" s="69" t="str">
        <f>MID(TabSpecificationWork_1[[#This Row],[NUM PROJECT]], SEARCH("-N",TabSpecificationWork_1[[#This Row],[NUM PROJECT]])+2, SEARCH("-",TabSpecificationWork_1[[#This Row],[NUM PROJECT]],SEARCH("-",TabSpecificationWork_1[[#This Row],[NUM PROJECT]])+1) - (SEARCH("-N",TabSpecificationWork_1[[#This Row],[NUM PROJECT]])+2))</f>
        <v>1</v>
      </c>
      <c r="E6" s="69">
        <v>1</v>
      </c>
      <c r="F6" s="5" t="s">
        <v>635</v>
      </c>
      <c r="G6" s="69">
        <v>1</v>
      </c>
      <c r="H6" s="69">
        <v>5</v>
      </c>
      <c r="I6" s="71" t="str">
        <f>CONCATENATE(TabSpecificationWork_1[[#This Row],[IDset]],".",TabSpecificationWork_1[[#This Row],[NUM SEQUENCE SET]])</f>
        <v>1.5</v>
      </c>
      <c r="J6" s="72" t="s">
        <v>30</v>
      </c>
      <c r="K6" s="73" t="str">
        <f>LOWER(CONCATENATE(TabSpecificationWork_1[[#This Row],[NUM PROJECT]],"-","ver_",TabSpecificationWork_1[[#This Row],[VER COLLECTION]],"-","set_",TabSpecificationWork_1[[#This Row],[NUM FULL SET]],"-",TabSpecificationWork_1[[#This Row],[isSHIPPED]]))</f>
        <v>8/2026-n1-горизонт-ver_1-set_1.5-true</v>
      </c>
      <c r="L6" s="74" t="s">
        <v>643</v>
      </c>
      <c r="M6" s="5" t="s">
        <v>644</v>
      </c>
      <c r="N6" s="75" t="s">
        <v>388</v>
      </c>
      <c r="O6" s="75" t="s">
        <v>388</v>
      </c>
      <c r="P6" s="75" t="s">
        <v>633</v>
      </c>
      <c r="Q6" s="75" t="s">
        <v>633</v>
      </c>
      <c r="R6" s="75" t="s">
        <v>36</v>
      </c>
      <c r="S6" s="69">
        <v>1</v>
      </c>
      <c r="T6" s="69">
        <v>1</v>
      </c>
      <c r="U6" s="69">
        <f>TabSpecificationWork_1[[#This Row],[QUANTITY SET]]*TabSpecificationWork_1[[#This Row],[QUANTITY SHIPPED SET]]</f>
        <v>1</v>
      </c>
      <c r="V6" s="69">
        <v>1</v>
      </c>
      <c r="W6" s="76">
        <v>50000</v>
      </c>
      <c r="X6" s="77">
        <v>0</v>
      </c>
      <c r="Y6" s="76">
        <f>TabSpecificationWork_1[[#This Row],[QUANTITY TOTAL]]*TabSpecificationWork_1[[#This Row],[PRICE UNIT $PURCHASE]]</f>
        <v>50000</v>
      </c>
      <c r="Z6" s="76">
        <f>TabSpecificationWork_1[[#This Row],[VAT ADD PRICE $PURCHASE]]*TabSpecificationWork_1[[#This Row],[QUANTITY TOTAL]]+TabSpecificationWork_1[[#This Row],[COST PRICE $PURCHASE]]</f>
        <v>50000</v>
      </c>
      <c r="AA6" s="78" t="s">
        <v>633</v>
      </c>
      <c r="AB6" s="5" t="s">
        <v>633</v>
      </c>
      <c r="AC6" s="5" t="s">
        <v>633</v>
      </c>
      <c r="AD6" s="5"/>
    </row>
    <row r="7" spans="1:30" ht="230.4" hidden="1" x14ac:dyDescent="0.3">
      <c r="A7" s="69" t="s">
        <v>645</v>
      </c>
      <c r="B7" s="69" t="s">
        <v>633</v>
      </c>
      <c r="C7" s="70" t="s">
        <v>634</v>
      </c>
      <c r="D7" s="69" t="str">
        <f>MID(TabSpecificationWork_1[[#This Row],[NUM PROJECT]], SEARCH("-N",TabSpecificationWork_1[[#This Row],[NUM PROJECT]])+2, SEARCH("-",TabSpecificationWork_1[[#This Row],[NUM PROJECT]],SEARCH("-",TabSpecificationWork_1[[#This Row],[NUM PROJECT]])+1) - (SEARCH("-N",TabSpecificationWork_1[[#This Row],[NUM PROJECT]])+2))</f>
        <v>1</v>
      </c>
      <c r="E7" s="69">
        <v>1</v>
      </c>
      <c r="F7" s="5" t="s">
        <v>635</v>
      </c>
      <c r="G7" s="69">
        <v>2</v>
      </c>
      <c r="H7" s="69">
        <v>1</v>
      </c>
      <c r="I7" s="71" t="str">
        <f>CONCATENATE(TabSpecificationWork_1[[#This Row],[IDset]],".",TabSpecificationWork_1[[#This Row],[NUM SEQUENCE SET]])</f>
        <v>2.1</v>
      </c>
      <c r="J7" s="72" t="s">
        <v>39</v>
      </c>
      <c r="K7" s="73" t="str">
        <f>LOWER(CONCATENATE(TabSpecificationWork_1[[#This Row],[NUM PROJECT]],"-","ver_",TabSpecificationWork_1[[#This Row],[VER COLLECTION]],"-","set_",TabSpecificationWork_1[[#This Row],[NUM FULL SET]],"-",TabSpecificationWork_1[[#This Row],[isSHIPPED]]))</f>
        <v>8/2026-n1-горизонт-ver_1-set_2.1-false</v>
      </c>
      <c r="L7" s="74" t="s">
        <v>646</v>
      </c>
      <c r="M7" s="5" t="s">
        <v>647</v>
      </c>
      <c r="N7" s="75" t="s">
        <v>388</v>
      </c>
      <c r="O7" s="75" t="s">
        <v>388</v>
      </c>
      <c r="P7" s="75" t="s">
        <v>633</v>
      </c>
      <c r="Q7" s="75" t="s">
        <v>633</v>
      </c>
      <c r="R7" s="75" t="s">
        <v>36</v>
      </c>
      <c r="S7" s="69">
        <v>1</v>
      </c>
      <c r="T7" s="69">
        <v>1</v>
      </c>
      <c r="U7" s="69">
        <f>TabSpecificationWork_1[[#This Row],[QUANTITY SET]]*TabSpecificationWork_1[[#This Row],[QUANTITY SHIPPED SET]]</f>
        <v>1</v>
      </c>
      <c r="V7" s="69">
        <v>1</v>
      </c>
      <c r="W7" s="76">
        <v>100000</v>
      </c>
      <c r="X7" s="77">
        <v>0</v>
      </c>
      <c r="Y7" s="76">
        <f>TabSpecificationWork_1[[#This Row],[QUANTITY TOTAL]]*TabSpecificationWork_1[[#This Row],[PRICE UNIT $PURCHASE]]</f>
        <v>100000</v>
      </c>
      <c r="Z7" s="76">
        <f>TabSpecificationWork_1[[#This Row],[VAT ADD PRICE $PURCHASE]]*TabSpecificationWork_1[[#This Row],[QUANTITY TOTAL]]+TabSpecificationWork_1[[#This Row],[COST PRICE $PURCHASE]]</f>
        <v>100000</v>
      </c>
      <c r="AA7" s="78" t="s">
        <v>633</v>
      </c>
      <c r="AB7" s="5" t="s">
        <v>633</v>
      </c>
      <c r="AC7" s="5" t="s">
        <v>633</v>
      </c>
      <c r="AD7" s="5"/>
    </row>
    <row r="8" spans="1:30" ht="230.4" x14ac:dyDescent="0.3">
      <c r="A8" s="69" t="s">
        <v>648</v>
      </c>
      <c r="B8" s="69" t="s">
        <v>633</v>
      </c>
      <c r="C8" s="70" t="s">
        <v>634</v>
      </c>
      <c r="D8" s="69" t="str">
        <f>MID(TabSpecificationWork_1[[#This Row],[NUM PROJECT]], SEARCH("-N",TabSpecificationWork_1[[#This Row],[NUM PROJECT]])+2, SEARCH("-",TabSpecificationWork_1[[#This Row],[NUM PROJECT]],SEARCH("-",TabSpecificationWork_1[[#This Row],[NUM PROJECT]])+1) - (SEARCH("-N",TabSpecificationWork_1[[#This Row],[NUM PROJECT]])+2))</f>
        <v>1</v>
      </c>
      <c r="E8" s="69">
        <v>1</v>
      </c>
      <c r="F8" s="5" t="s">
        <v>635</v>
      </c>
      <c r="G8" s="69">
        <v>1</v>
      </c>
      <c r="H8" s="69">
        <v>6</v>
      </c>
      <c r="I8" s="71" t="str">
        <f>CONCATENATE(TabSpecificationWork_1[[#This Row],[IDset]],".",TabSpecificationWork_1[[#This Row],[NUM SEQUENCE SET]])</f>
        <v>1.6</v>
      </c>
      <c r="J8" s="72" t="s">
        <v>30</v>
      </c>
      <c r="K8" s="73" t="str">
        <f>LOWER(CONCATENATE(TabSpecificationWork_1[[#This Row],[NUM PROJECT]],"-","ver_",TabSpecificationWork_1[[#This Row],[VER COLLECTION]],"-","set_",TabSpecificationWork_1[[#This Row],[NUM FULL SET]],"-",TabSpecificationWork_1[[#This Row],[isSHIPPED]]))</f>
        <v>8/2026-n1-горизонт-ver_1-set_1.6-true</v>
      </c>
      <c r="L8" s="74" t="s">
        <v>649</v>
      </c>
      <c r="M8" s="5" t="s">
        <v>703</v>
      </c>
      <c r="N8" s="75" t="s">
        <v>388</v>
      </c>
      <c r="O8" s="75" t="s">
        <v>388</v>
      </c>
      <c r="P8" s="75" t="s">
        <v>633</v>
      </c>
      <c r="Q8" s="75" t="s">
        <v>633</v>
      </c>
      <c r="R8" s="75" t="s">
        <v>36</v>
      </c>
      <c r="S8" s="69">
        <v>1</v>
      </c>
      <c r="T8" s="69">
        <v>1</v>
      </c>
      <c r="U8" s="69">
        <f>TabSpecificationWork_1[[#This Row],[QUANTITY SET]]*TabSpecificationWork_1[[#This Row],[QUANTITY SHIPPED SET]]</f>
        <v>1</v>
      </c>
      <c r="V8" s="69">
        <v>1</v>
      </c>
      <c r="W8" s="76">
        <v>25000</v>
      </c>
      <c r="X8" s="77">
        <v>0</v>
      </c>
      <c r="Y8" s="76">
        <f>TabSpecificationWork_1[[#This Row],[QUANTITY TOTAL]]*TabSpecificationWork_1[[#This Row],[PRICE UNIT $PURCHASE]]</f>
        <v>25000</v>
      </c>
      <c r="Z8" s="76">
        <f>TabSpecificationWork_1[[#This Row],[VAT ADD PRICE $PURCHASE]]*TabSpecificationWork_1[[#This Row],[QUANTITY TOTAL]]+TabSpecificationWork_1[[#This Row],[COST PRICE $PURCHASE]]</f>
        <v>25000</v>
      </c>
      <c r="AA8" s="78" t="s">
        <v>633</v>
      </c>
      <c r="AB8" s="5" t="s">
        <v>633</v>
      </c>
      <c r="AC8" s="5" t="s">
        <v>633</v>
      </c>
      <c r="AD8" s="5"/>
    </row>
    <row r="9" spans="1:30" ht="187.2" x14ac:dyDescent="0.3">
      <c r="A9" s="69" t="s">
        <v>650</v>
      </c>
      <c r="B9" s="69" t="s">
        <v>633</v>
      </c>
      <c r="C9" s="70" t="s">
        <v>634</v>
      </c>
      <c r="D9" s="69" t="str">
        <f>MID(TabSpecificationWork_1[[#This Row],[NUM PROJECT]], SEARCH("-N",TabSpecificationWork_1[[#This Row],[NUM PROJECT]])+2, SEARCH("-",TabSpecificationWork_1[[#This Row],[NUM PROJECT]],SEARCH("-",TabSpecificationWork_1[[#This Row],[NUM PROJECT]])+1) - (SEARCH("-N",TabSpecificationWork_1[[#This Row],[NUM PROJECT]])+2))</f>
        <v>1</v>
      </c>
      <c r="E9" s="69">
        <v>1</v>
      </c>
      <c r="F9" s="5" t="s">
        <v>635</v>
      </c>
      <c r="G9" s="69">
        <v>1</v>
      </c>
      <c r="H9" s="69">
        <v>7</v>
      </c>
      <c r="I9" s="71" t="str">
        <f>CONCATENATE(TabSpecificationWork_1[[#This Row],[IDset]],".",TabSpecificationWork_1[[#This Row],[NUM SEQUENCE SET]])</f>
        <v>1.7</v>
      </c>
      <c r="J9" s="72" t="s">
        <v>30</v>
      </c>
      <c r="K9" s="73" t="str">
        <f>LOWER(CONCATENATE(TabSpecificationWork_1[[#This Row],[NUM PROJECT]],"-","ver_",TabSpecificationWork_1[[#This Row],[VER COLLECTION]],"-","set_",TabSpecificationWork_1[[#This Row],[NUM FULL SET]],"-",TabSpecificationWork_1[[#This Row],[isSHIPPED]]))</f>
        <v>8/2026-n1-горизонт-ver_1-set_1.7-true</v>
      </c>
      <c r="L9" s="74" t="s">
        <v>651</v>
      </c>
      <c r="M9" s="5" t="s">
        <v>652</v>
      </c>
      <c r="N9" s="75" t="s">
        <v>388</v>
      </c>
      <c r="O9" s="75" t="s">
        <v>388</v>
      </c>
      <c r="P9" s="75" t="s">
        <v>633</v>
      </c>
      <c r="Q9" s="75" t="s">
        <v>633</v>
      </c>
      <c r="R9" s="75" t="s">
        <v>36</v>
      </c>
      <c r="S9" s="69">
        <v>1</v>
      </c>
      <c r="T9" s="69">
        <v>1</v>
      </c>
      <c r="U9" s="69">
        <f>TabSpecificationWork_1[[#This Row],[QUANTITY SET]]*TabSpecificationWork_1[[#This Row],[QUANTITY SHIPPED SET]]</f>
        <v>1</v>
      </c>
      <c r="V9" s="69">
        <v>1</v>
      </c>
      <c r="W9" s="76">
        <v>25000</v>
      </c>
      <c r="X9" s="77">
        <v>0</v>
      </c>
      <c r="Y9" s="76">
        <f>TabSpecificationWork_1[[#This Row],[QUANTITY TOTAL]]*TabSpecificationWork_1[[#This Row],[PRICE UNIT $PURCHASE]]</f>
        <v>25000</v>
      </c>
      <c r="Z9" s="76">
        <f>TabSpecificationWork_1[[#This Row],[VAT ADD PRICE $PURCHASE]]*TabSpecificationWork_1[[#This Row],[QUANTITY TOTAL]]+TabSpecificationWork_1[[#This Row],[COST PRICE $PURCHASE]]</f>
        <v>25000</v>
      </c>
      <c r="AA9" s="78" t="s">
        <v>633</v>
      </c>
      <c r="AB9" s="5" t="s">
        <v>633</v>
      </c>
      <c r="AC9" s="5" t="s">
        <v>633</v>
      </c>
      <c r="AD9" s="5"/>
    </row>
    <row r="10" spans="1:30" ht="158.4" hidden="1" x14ac:dyDescent="0.3">
      <c r="A10" s="69" t="s">
        <v>653</v>
      </c>
      <c r="B10" s="69" t="s">
        <v>633</v>
      </c>
      <c r="C10" s="70" t="s">
        <v>634</v>
      </c>
      <c r="D10" s="69" t="str">
        <f>MID(TabSpecificationWork_1[[#This Row],[NUM PROJECT]], SEARCH("-N",TabSpecificationWork_1[[#This Row],[NUM PROJECT]])+2, SEARCH("-",TabSpecificationWork_1[[#This Row],[NUM PROJECT]],SEARCH("-",TabSpecificationWork_1[[#This Row],[NUM PROJECT]])+1) - (SEARCH("-N",TabSpecificationWork_1[[#This Row],[NUM PROJECT]])+2))</f>
        <v>1</v>
      </c>
      <c r="E10" s="69">
        <v>1</v>
      </c>
      <c r="F10" s="5" t="s">
        <v>635</v>
      </c>
      <c r="G10" s="69">
        <v>4</v>
      </c>
      <c r="H10" s="69">
        <v>1</v>
      </c>
      <c r="I10" s="71" t="str">
        <f>CONCATENATE(TabSpecificationWork_1[[#This Row],[IDset]],".",TabSpecificationWork_1[[#This Row],[NUM SEQUENCE SET]])</f>
        <v>4.1</v>
      </c>
      <c r="J10" s="72" t="s">
        <v>39</v>
      </c>
      <c r="K10" s="73" t="str">
        <f>LOWER(CONCATENATE(TabSpecificationWork_1[[#This Row],[NUM PROJECT]],"-","ver_",TabSpecificationWork_1[[#This Row],[VER COLLECTION]],"-","set_",TabSpecificationWork_1[[#This Row],[NUM FULL SET]],"-",TabSpecificationWork_1[[#This Row],[isSHIPPED]]))</f>
        <v>8/2026-n1-горизонт-ver_1-set_4.1-false</v>
      </c>
      <c r="L10" s="74" t="s">
        <v>654</v>
      </c>
      <c r="M10" s="5" t="s">
        <v>655</v>
      </c>
      <c r="N10" s="75" t="s">
        <v>388</v>
      </c>
      <c r="O10" s="75" t="s">
        <v>388</v>
      </c>
      <c r="P10" s="75" t="s">
        <v>633</v>
      </c>
      <c r="Q10" s="75" t="s">
        <v>633</v>
      </c>
      <c r="R10" s="75" t="s">
        <v>36</v>
      </c>
      <c r="S10" s="69">
        <v>1</v>
      </c>
      <c r="T10" s="69">
        <v>1</v>
      </c>
      <c r="U10" s="69">
        <f>TabSpecificationWork_1[[#This Row],[QUANTITY SET]]*TabSpecificationWork_1[[#This Row],[QUANTITY SHIPPED SET]]</f>
        <v>1</v>
      </c>
      <c r="V10" s="69">
        <v>1</v>
      </c>
      <c r="W10" s="76">
        <v>100000</v>
      </c>
      <c r="X10" s="77">
        <v>0</v>
      </c>
      <c r="Y10" s="76">
        <f>TabSpecificationWork_1[[#This Row],[QUANTITY TOTAL]]*TabSpecificationWork_1[[#This Row],[PRICE UNIT $PURCHASE]]</f>
        <v>100000</v>
      </c>
      <c r="Z10" s="76">
        <f>TabSpecificationWork_1[[#This Row],[VAT ADD PRICE $PURCHASE]]*TabSpecificationWork_1[[#This Row],[QUANTITY TOTAL]]+TabSpecificationWork_1[[#This Row],[COST PRICE $PURCHASE]]</f>
        <v>100000</v>
      </c>
      <c r="AA10" s="78" t="s">
        <v>633</v>
      </c>
      <c r="AB10" s="5" t="s">
        <v>633</v>
      </c>
      <c r="AC10" s="5" t="s">
        <v>633</v>
      </c>
      <c r="AD10" s="5"/>
    </row>
  </sheetData>
  <phoneticPr fontId="19" type="noConversion"/>
  <conditionalFormatting sqref="C2:C10">
    <cfRule type="duplicateValues" dxfId="16" priority="46"/>
  </conditionalFormatting>
  <conditionalFormatting sqref="I2:I10">
    <cfRule type="duplicateValues" dxfId="15" priority="1"/>
  </conditionalFormatting>
  <conditionalFormatting sqref="K2:K10">
    <cfRule type="notContainsBlanks" dxfId="14" priority="47">
      <formula>LEN(TRIM(K2))&gt;0</formula>
    </cfRule>
    <cfRule type="duplicateValues" priority="48"/>
  </conditionalFormatting>
  <conditionalFormatting sqref="X2:Z10">
    <cfRule type="notContainsBlanks" dxfId="13" priority="3">
      <formula>LEN(TRIM(X2))&gt;0</formula>
    </cfRule>
  </conditionalFormatting>
  <dataValidations count="5">
    <dataValidation type="list" showInputMessage="1" showErrorMessage="1" sqref="C2:C10" xr:uid="{672C23D1-CF50-40A7-B8EA-B26A583FFA99}">
      <formula1>INDIRECT("TabHandbookProject[IDprojectfull]")</formula1>
    </dataValidation>
    <dataValidation type="list" showInputMessage="1" showErrorMessage="1" sqref="J2:J10" xr:uid="{9B9D790D-A184-4957-A391-57F2969E43F7}">
      <formula1>"true,false"</formula1>
    </dataValidation>
    <dataValidation type="list" allowBlank="1" showInputMessage="1" showErrorMessage="1" sqref="N2:N10" xr:uid="{72549B2C-B762-41CA-A115-84700443249E}">
      <formula1>INDIRECT("TabVendorAndBrand[BRAND]")</formula1>
    </dataValidation>
    <dataValidation type="list" allowBlank="1" showInputMessage="1" showErrorMessage="1" sqref="O2:O10" xr:uid="{1BDC6677-249E-4C18-9550-AA0F682C6511}">
      <formula1>INDIRECT("TabHandbookSupplier[COMPANY_LABEL]")</formula1>
    </dataValidation>
    <dataValidation type="list" allowBlank="1" showInputMessage="1" showErrorMessage="1" sqref="R2:R10" xr:uid="{24FC0FFE-BD01-4EA0-88A9-3D48E9DBD653}">
      <formula1>INDIRECT("TabHandbookUnit[UNITS]")</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11"/>
  <sheetViews>
    <sheetView workbookViewId="0">
      <pane ySplit="1" topLeftCell="A4" activePane="bottomLeft" state="frozen"/>
      <selection pane="bottomLeft" activeCell="Q8" sqref="Q8"/>
    </sheetView>
  </sheetViews>
  <sheetFormatPr defaultRowHeight="14.4" x14ac:dyDescent="0.3"/>
  <cols>
    <col min="1" max="1" width="25.109375" style="36" customWidth="1"/>
    <col min="2" max="2" width="11.33203125" style="10" customWidth="1"/>
    <col min="3" max="3" width="11.77734375" style="10" hidden="1" customWidth="1"/>
    <col min="4" max="4" width="25.109375" style="36" customWidth="1"/>
    <col min="5" max="5" width="37" style="20" hidden="1" customWidth="1"/>
    <col min="6" max="6" width="35.77734375" customWidth="1"/>
    <col min="7" max="7" width="15.6640625" customWidth="1"/>
    <col min="8" max="8" width="12.88671875" customWidth="1"/>
    <col min="9" max="9" width="15.33203125" customWidth="1"/>
    <col min="10" max="10" width="10.88671875" customWidth="1"/>
    <col min="11" max="11" width="15.5546875" customWidth="1"/>
    <col min="12" max="12" width="11.33203125" customWidth="1"/>
    <col min="13" max="13" width="16" customWidth="1"/>
    <col min="14" max="14" width="14.33203125" customWidth="1"/>
    <col min="15" max="18" width="15.77734375" customWidth="1"/>
    <col min="19" max="19" width="15.88671875" customWidth="1"/>
    <col min="20" max="22" width="17.5546875" bestFit="1" customWidth="1"/>
    <col min="23" max="23" width="35.88671875" customWidth="1"/>
  </cols>
  <sheetData>
    <row r="1" spans="1:23" ht="43.8" thickBot="1" x14ac:dyDescent="0.35">
      <c r="A1" s="14" t="s">
        <v>5</v>
      </c>
      <c r="B1" s="14" t="s">
        <v>8</v>
      </c>
      <c r="C1" s="14" t="s">
        <v>127</v>
      </c>
      <c r="D1" s="14" t="s">
        <v>11</v>
      </c>
      <c r="E1" s="50" t="s">
        <v>10</v>
      </c>
      <c r="F1" s="15" t="s">
        <v>10</v>
      </c>
      <c r="G1" s="15" t="s">
        <v>128</v>
      </c>
      <c r="H1" s="15" t="s">
        <v>129</v>
      </c>
      <c r="I1" s="16" t="s">
        <v>130</v>
      </c>
      <c r="J1" s="15" t="s">
        <v>131</v>
      </c>
      <c r="K1" s="15" t="s">
        <v>132</v>
      </c>
      <c r="L1" s="15" t="s">
        <v>133</v>
      </c>
      <c r="M1" s="15" t="s">
        <v>612</v>
      </c>
      <c r="N1" s="15" t="s">
        <v>134</v>
      </c>
      <c r="O1" s="15" t="s">
        <v>613</v>
      </c>
      <c r="P1" s="15" t="s">
        <v>614</v>
      </c>
      <c r="Q1" s="15" t="s">
        <v>135</v>
      </c>
      <c r="R1" s="15" t="s">
        <v>615</v>
      </c>
      <c r="S1" s="15" t="s">
        <v>616</v>
      </c>
      <c r="T1" s="15" t="s">
        <v>136</v>
      </c>
      <c r="U1" s="15" t="s">
        <v>137</v>
      </c>
      <c r="V1" s="15" t="s">
        <v>138</v>
      </c>
      <c r="W1" s="15" t="s">
        <v>139</v>
      </c>
    </row>
    <row r="2" spans="1:23" ht="43.2" x14ac:dyDescent="0.3">
      <c r="A2" s="36" t="str" cm="1">
        <f t="array" ref="A2:E10">_xlfn.CHOOSECOLS(TabSpecificationWork_1[],6,9,5,12,11)</f>
        <v>Инжиниринг проектный - КР</v>
      </c>
      <c r="B2" s="10" t="str">
        <v>1.1</v>
      </c>
      <c r="C2" s="10">
        <v>1</v>
      </c>
      <c r="D2" s="36" t="str">
        <v>Проектирование модуля размещения электронных компонентов ПТК</v>
      </c>
      <c r="E2" s="20" t="str">
        <v>8/2026-n1-горизонт-ver_1-set_1.1-true</v>
      </c>
      <c r="F2" s="19" t="str">
        <f>E2</f>
        <v>8/2026-n1-горизонт-ver_1-set_1.1-true</v>
      </c>
      <c r="G2" s="81">
        <v>3</v>
      </c>
      <c r="H2" s="82">
        <f>TabSpecificationWork_2[[#This Row],[COEFFICIENT MARKUP]]*TabSpecificationWork_1[[#This Row],[PRICE UNIT $PURCHASE]]</f>
        <v>234000</v>
      </c>
      <c r="I2" s="83">
        <f>TabSpecificationWork_1[[#This Row],[QUANTITY TOTAL]]*TabSpecificationWork_2[[#This Row],[PRICE UNIT $SALE]]</f>
        <v>234000</v>
      </c>
      <c r="J2" s="84">
        <v>0</v>
      </c>
      <c r="K2" s="85">
        <f>(TabSpecificationWork_2[[#This Row],[COST DEAL $SALE]]/100)*TabSpecificationWork_2[[#This Row],[DISCOUNT PERCENT]]</f>
        <v>0</v>
      </c>
      <c r="L2" s="86"/>
      <c r="M2" s="87">
        <f>_xlfn.LET(
    _xlpm.projNum, _xlfn.XLOOKUP(TabSpecificationWork_2[[#This Row],[HASH COLLECTION]], TabSpecificationWork_1[HASH COLLECTION], TabSpecificationWork_1[NUM PROJECT], ""),
    _xlpm.company, UPPER(TRIM(_xlfn.TEXTAFTER(_xlpm.projNum, "-", 2))),
    IF(_xlpm.company="ГОРИЗОНТ", 0.22, 0)
)</f>
        <v>0.22</v>
      </c>
      <c r="N2" s="88">
        <f>TabSpecificationWork_2[[#This Row],[PRICE UNIT $SALE]]</f>
        <v>234000</v>
      </c>
      <c r="O2" s="88">
        <f>TabSpecificationWork_2[[#This Row],[PRICE UNIT $TOTAL]] * TabSpecificationWork_2[[#This Row],[VAT RATE CONTRACTOR $TOTAL]]</f>
        <v>51480</v>
      </c>
      <c r="P2" s="88">
        <f>TabSpecificationWork_2[[#This Row],[PRICE UNIT $TOTAL]] + TabSpecificationWork_2[[#This Row],[VAT ADD PRICE UNIT $TOTAL]]</f>
        <v>285480</v>
      </c>
      <c r="Q2" s="89">
        <f>TabSpecificationWork_2[[#This Row],[COST DEAL $SALE]]-TabSpecificationWork_2[[#This Row],[DISCOUNT MONEY]]</f>
        <v>234000</v>
      </c>
      <c r="R2" s="90">
        <f>TabSpecificationWork_2[[#This Row],[COST $TOTAL]] * TabSpecificationWork_2[[#This Row],[VAT RATE CONTRACTOR $TOTAL]]</f>
        <v>51480</v>
      </c>
      <c r="S2" s="89">
        <f>TabSpecificationWork_2[[#This Row],[COST $TOTAL]] + TabSpecificationWork_2[[#This Row],[COST ADD VAT $TOTAL]]</f>
        <v>285480</v>
      </c>
      <c r="T2" s="91">
        <v>25</v>
      </c>
      <c r="U2" s="84" t="s">
        <v>30</v>
      </c>
      <c r="V2" s="84" t="s">
        <v>39</v>
      </c>
      <c r="W2" s="92"/>
    </row>
    <row r="3" spans="1:23" ht="28.8" x14ac:dyDescent="0.3">
      <c r="A3" s="36" t="str">
        <v>Инжиниринг проектный - КР</v>
      </c>
      <c r="B3" s="10" t="str">
        <v>1.2</v>
      </c>
      <c r="C3" s="10">
        <v>1</v>
      </c>
      <c r="D3" s="36" t="str">
        <v>Проектирование узла коммутации сети ~230 В</v>
      </c>
      <c r="E3" s="20" t="str">
        <v>8/2026-n1-горизонт-ver_1-set_1.2-true</v>
      </c>
      <c r="F3" s="19" t="str">
        <f t="shared" ref="F3:F10" si="0">E3</f>
        <v>8/2026-n1-горизонт-ver_1-set_1.2-true</v>
      </c>
      <c r="G3" s="93">
        <v>2.5</v>
      </c>
      <c r="H3" s="94">
        <f>TabSpecificationWork_2[[#This Row],[COEFFICIENT MARKUP]]*TabSpecificationWork_1[[#This Row],[PRICE UNIT $PURCHASE]]</f>
        <v>62500</v>
      </c>
      <c r="I3" s="94">
        <f>TabSpecificationWork_1[[#This Row],[QUANTITY TOTAL]]*TabSpecificationWork_2[[#This Row],[PRICE UNIT $SALE]]</f>
        <v>62500</v>
      </c>
      <c r="J3" s="95">
        <v>0</v>
      </c>
      <c r="K3" s="96">
        <f>(TabSpecificationWork_2[[#This Row],[COST DEAL $SALE]]/100)*TabSpecificationWork_2[[#This Row],[DISCOUNT PERCENT]]</f>
        <v>0</v>
      </c>
      <c r="L3" s="97"/>
      <c r="M3" s="98">
        <f>_xlfn.LET(
    _xlpm.projNum, _xlfn.XLOOKUP(TabSpecificationWork_2[[#This Row],[HASH COLLECTION]], TabSpecificationWork_1[HASH COLLECTION], TabSpecificationWork_1[NUM PROJECT], ""),
    _xlpm.company, UPPER(TRIM(_xlfn.TEXTAFTER(_xlpm.projNum, "-", 2))),
    IF(_xlpm.company="ГОРИЗОНТ", 0.22, 0)
)</f>
        <v>0.22</v>
      </c>
      <c r="N3" s="99">
        <f>TabSpecificationWork_2[[#This Row],[PRICE UNIT $SALE]]</f>
        <v>62500</v>
      </c>
      <c r="O3" s="99">
        <f>TabSpecificationWork_2[[#This Row],[PRICE UNIT $TOTAL]] * TabSpecificationWork_2[[#This Row],[VAT RATE CONTRACTOR $TOTAL]]</f>
        <v>13750</v>
      </c>
      <c r="P3" s="99">
        <f>TabSpecificationWork_2[[#This Row],[PRICE UNIT $TOTAL]] + TabSpecificationWork_2[[#This Row],[VAT ADD PRICE UNIT $TOTAL]]</f>
        <v>76250</v>
      </c>
      <c r="Q3" s="100">
        <f>TabSpecificationWork_2[[#This Row],[COST DEAL $SALE]]-TabSpecificationWork_2[[#This Row],[DISCOUNT MONEY]]</f>
        <v>62500</v>
      </c>
      <c r="R3" s="101">
        <f>TabSpecificationWork_2[[#This Row],[COST $TOTAL]] * TabSpecificationWork_2[[#This Row],[VAT RATE CONTRACTOR $TOTAL]]</f>
        <v>13750</v>
      </c>
      <c r="S3" s="100">
        <f>TabSpecificationWork_2[[#This Row],[COST $TOTAL]] + TabSpecificationWork_2[[#This Row],[COST ADD VAT $TOTAL]]</f>
        <v>76250</v>
      </c>
      <c r="T3" s="102">
        <v>10</v>
      </c>
      <c r="U3" s="84" t="s">
        <v>30</v>
      </c>
      <c r="V3" s="84" t="s">
        <v>39</v>
      </c>
      <c r="W3" s="103"/>
    </row>
    <row r="4" spans="1:23" ht="72" x14ac:dyDescent="0.3">
      <c r="A4" s="36" t="str">
        <v>Инжиниринг проектный - КР</v>
      </c>
      <c r="B4" s="10" t="str">
        <v>1.3</v>
      </c>
      <c r="C4" s="10">
        <v>1</v>
      </c>
      <c r="D4" s="36" t="str">
        <v>Проектирование интегрированного узла крепления LCD touch дисплея, хаба АСУ ВУ, RFID и QR считывателя</v>
      </c>
      <c r="E4" s="20" t="str">
        <v>8/2026-n1-горизонт-ver_1-set_1.3-true</v>
      </c>
      <c r="F4" s="19" t="str">
        <f t="shared" si="0"/>
        <v>8/2026-n1-горизонт-ver_1-set_1.3-true</v>
      </c>
      <c r="G4" s="93">
        <v>4.3</v>
      </c>
      <c r="H4" s="94">
        <f>TabSpecificationWork_2[[#This Row],[COEFFICIENT MARKUP]]*TabSpecificationWork_1[[#This Row],[PRICE UNIT $PURCHASE]]</f>
        <v>197800</v>
      </c>
      <c r="I4" s="94">
        <f>TabSpecificationWork_1[[#This Row],[QUANTITY TOTAL]]*TabSpecificationWork_2[[#This Row],[PRICE UNIT $SALE]]</f>
        <v>197800</v>
      </c>
      <c r="J4" s="95">
        <v>0</v>
      </c>
      <c r="K4" s="96">
        <f>(TabSpecificationWork_2[[#This Row],[COST DEAL $SALE]]/100)*TabSpecificationWork_2[[#This Row],[DISCOUNT PERCENT]]</f>
        <v>0</v>
      </c>
      <c r="L4" s="97"/>
      <c r="M4" s="98">
        <f>_xlfn.LET(
    _xlpm.projNum, _xlfn.XLOOKUP(TabSpecificationWork_2[[#This Row],[HASH COLLECTION]], TabSpecificationWork_1[HASH COLLECTION], TabSpecificationWork_1[NUM PROJECT], ""),
    _xlpm.company, UPPER(TRIM(_xlfn.TEXTAFTER(_xlpm.projNum, "-", 2))),
    IF(_xlpm.company="ГОРИЗОНТ", 0.22, 0)
)</f>
        <v>0.22</v>
      </c>
      <c r="N4" s="99">
        <f>TabSpecificationWork_2[[#This Row],[PRICE UNIT $SALE]]</f>
        <v>197800</v>
      </c>
      <c r="O4" s="99">
        <f>TabSpecificationWork_2[[#This Row],[PRICE UNIT $TOTAL]] * TabSpecificationWork_2[[#This Row],[VAT RATE CONTRACTOR $TOTAL]]</f>
        <v>43516</v>
      </c>
      <c r="P4" s="99">
        <f>TabSpecificationWork_2[[#This Row],[PRICE UNIT $TOTAL]] + TabSpecificationWork_2[[#This Row],[VAT ADD PRICE UNIT $TOTAL]]</f>
        <v>241316</v>
      </c>
      <c r="Q4" s="100">
        <f>TabSpecificationWork_2[[#This Row],[COST DEAL $SALE]]-TabSpecificationWork_2[[#This Row],[DISCOUNT MONEY]]</f>
        <v>197800</v>
      </c>
      <c r="R4" s="101">
        <f>TabSpecificationWork_2[[#This Row],[COST $TOTAL]] * TabSpecificationWork_2[[#This Row],[VAT RATE CONTRACTOR $TOTAL]]</f>
        <v>43516</v>
      </c>
      <c r="S4" s="100">
        <f>TabSpecificationWork_2[[#This Row],[COST $TOTAL]] + TabSpecificationWork_2[[#This Row],[COST ADD VAT $TOTAL]]</f>
        <v>241316</v>
      </c>
      <c r="T4" s="102">
        <v>20</v>
      </c>
      <c r="U4" s="84" t="s">
        <v>30</v>
      </c>
      <c r="V4" s="84" t="s">
        <v>39</v>
      </c>
      <c r="W4" s="103"/>
    </row>
    <row r="5" spans="1:23" ht="28.8" x14ac:dyDescent="0.3">
      <c r="A5" s="36" t="str">
        <v>Инжиниринг проектный - КР</v>
      </c>
      <c r="B5" s="10" t="str">
        <v>1.4</v>
      </c>
      <c r="C5" s="10">
        <v>1</v>
      </c>
      <c r="D5" s="36" t="str">
        <v>Разработка эскизов общего вида Изделия</v>
      </c>
      <c r="E5" s="20" t="str">
        <v>8/2026-n1-горизонт-ver_1-set_1.4-true</v>
      </c>
      <c r="F5" s="19" t="str">
        <f t="shared" si="0"/>
        <v>8/2026-n1-горизонт-ver_1-set_1.4-true</v>
      </c>
      <c r="G5" s="93">
        <v>5</v>
      </c>
      <c r="H5" s="94">
        <f>TabSpecificationWork_2[[#This Row],[COEFFICIENT MARKUP]]*TabSpecificationWork_1[[#This Row],[PRICE UNIT $PURCHASE]]</f>
        <v>250000</v>
      </c>
      <c r="I5" s="94">
        <f>TabSpecificationWork_1[[#This Row],[QUANTITY TOTAL]]*TabSpecificationWork_2[[#This Row],[PRICE UNIT $SALE]]</f>
        <v>250000</v>
      </c>
      <c r="J5" s="95">
        <v>0</v>
      </c>
      <c r="K5" s="104">
        <f>(TabSpecificationWork_2[[#This Row],[COST DEAL $SALE]]/100)*TabSpecificationWork_2[[#This Row],[DISCOUNT PERCENT]]</f>
        <v>0</v>
      </c>
      <c r="L5" s="105"/>
      <c r="M5" s="98">
        <f>_xlfn.LET(
    _xlpm.projNum, _xlfn.XLOOKUP(TabSpecificationWork_2[[#This Row],[HASH COLLECTION]], TabSpecificationWork_1[HASH COLLECTION], TabSpecificationWork_1[NUM PROJECT], ""),
    _xlpm.company, UPPER(TRIM(_xlfn.TEXTAFTER(_xlpm.projNum, "-", 2))),
    IF(_xlpm.company="ГОРИЗОНТ", 0.22, 0)
)</f>
        <v>0.22</v>
      </c>
      <c r="N5" s="104">
        <f>TabSpecificationWork_2[[#This Row],[PRICE UNIT $SALE]]</f>
        <v>250000</v>
      </c>
      <c r="O5" s="99">
        <f>TabSpecificationWork_2[[#This Row],[PRICE UNIT $TOTAL]] * TabSpecificationWork_2[[#This Row],[VAT RATE CONTRACTOR $TOTAL]]</f>
        <v>55000</v>
      </c>
      <c r="P5" s="99">
        <f>TabSpecificationWork_2[[#This Row],[PRICE UNIT $TOTAL]] + TabSpecificationWork_2[[#This Row],[VAT ADD PRICE UNIT $TOTAL]]</f>
        <v>305000</v>
      </c>
      <c r="Q5" s="100">
        <f>TabSpecificationWork_2[[#This Row],[COST DEAL $SALE]]-TabSpecificationWork_2[[#This Row],[DISCOUNT MONEY]]</f>
        <v>250000</v>
      </c>
      <c r="R5" s="101">
        <f>TabSpecificationWork_2[[#This Row],[COST $TOTAL]] * TabSpecificationWork_2[[#This Row],[VAT RATE CONTRACTOR $TOTAL]]</f>
        <v>55000</v>
      </c>
      <c r="S5" s="100">
        <f>TabSpecificationWork_2[[#This Row],[COST $TOTAL]] + TabSpecificationWork_2[[#This Row],[COST ADD VAT $TOTAL]]</f>
        <v>305000</v>
      </c>
      <c r="T5" s="102">
        <v>14</v>
      </c>
      <c r="U5" s="84" t="s">
        <v>30</v>
      </c>
      <c r="V5" s="84" t="s">
        <v>39</v>
      </c>
      <c r="W5" s="106"/>
    </row>
    <row r="6" spans="1:23" ht="28.8" x14ac:dyDescent="0.3">
      <c r="A6" s="36" t="str">
        <v>Инжиниринг проектный - КР</v>
      </c>
      <c r="B6" s="10" t="str">
        <v>1.5</v>
      </c>
      <c r="C6" s="10">
        <v>1</v>
      </c>
      <c r="D6" s="36" t="str">
        <v>Проектирование транспортировочной тары</v>
      </c>
      <c r="E6" s="20" t="str">
        <v>8/2026-n1-горизонт-ver_1-set_1.5-true</v>
      </c>
      <c r="F6" s="19" t="str">
        <f t="shared" si="0"/>
        <v>8/2026-n1-горизонт-ver_1-set_1.5-true</v>
      </c>
      <c r="G6" s="93">
        <v>6</v>
      </c>
      <c r="H6" s="94">
        <f>TabSpecificationWork_2[[#This Row],[COEFFICIENT MARKUP]]*TabSpecificationWork_1[[#This Row],[PRICE UNIT $PURCHASE]]</f>
        <v>300000</v>
      </c>
      <c r="I6" s="94">
        <f>TabSpecificationWork_1[[#This Row],[QUANTITY TOTAL]]*TabSpecificationWork_2[[#This Row],[PRICE UNIT $SALE]]</f>
        <v>300000</v>
      </c>
      <c r="J6" s="95">
        <v>0</v>
      </c>
      <c r="K6" s="104">
        <f>(TabSpecificationWork_2[[#This Row],[COST DEAL $SALE]]/100)*TabSpecificationWork_2[[#This Row],[DISCOUNT PERCENT]]</f>
        <v>0</v>
      </c>
      <c r="L6" s="105"/>
      <c r="M6" s="98">
        <f>_xlfn.LET(
    _xlpm.projNum, _xlfn.XLOOKUP(TabSpecificationWork_2[[#This Row],[HASH COLLECTION]], TabSpecificationWork_1[HASH COLLECTION], TabSpecificationWork_1[NUM PROJECT], ""),
    _xlpm.company, UPPER(TRIM(_xlfn.TEXTAFTER(_xlpm.projNum, "-", 2))),
    IF(_xlpm.company="ГОРИЗОНТ", 0.22, 0)
)</f>
        <v>0.22</v>
      </c>
      <c r="N6" s="104">
        <f>TabSpecificationWork_2[[#This Row],[PRICE UNIT $SALE]]</f>
        <v>300000</v>
      </c>
      <c r="O6" s="99">
        <f>TabSpecificationWork_2[[#This Row],[PRICE UNIT $TOTAL]] * TabSpecificationWork_2[[#This Row],[VAT RATE CONTRACTOR $TOTAL]]</f>
        <v>66000</v>
      </c>
      <c r="P6" s="99">
        <f>TabSpecificationWork_2[[#This Row],[PRICE UNIT $TOTAL]] + TabSpecificationWork_2[[#This Row],[VAT ADD PRICE UNIT $TOTAL]]</f>
        <v>366000</v>
      </c>
      <c r="Q6" s="100">
        <f>TabSpecificationWork_2[[#This Row],[COST DEAL $SALE]]-TabSpecificationWork_2[[#This Row],[DISCOUNT MONEY]]</f>
        <v>300000</v>
      </c>
      <c r="R6" s="101">
        <f>TabSpecificationWork_2[[#This Row],[COST $TOTAL]] * TabSpecificationWork_2[[#This Row],[VAT RATE CONTRACTOR $TOTAL]]</f>
        <v>66000</v>
      </c>
      <c r="S6" s="100">
        <f>TabSpecificationWork_2[[#This Row],[COST $TOTAL]] + TabSpecificationWork_2[[#This Row],[COST ADD VAT $TOTAL]]</f>
        <v>366000</v>
      </c>
      <c r="T6" s="102">
        <v>15</v>
      </c>
      <c r="U6" s="84" t="s">
        <v>30</v>
      </c>
      <c r="V6" s="84" t="s">
        <v>39</v>
      </c>
      <c r="W6" s="106"/>
    </row>
    <row r="7" spans="1:23" ht="86.4" hidden="1" x14ac:dyDescent="0.3">
      <c r="A7" s="36" t="str">
        <v>Инжиниринг проектный - КР</v>
      </c>
      <c r="B7" s="10" t="str">
        <v>2.1</v>
      </c>
      <c r="C7" s="10">
        <v>1</v>
      </c>
      <c r="D7" s="36" t="str">
        <v>Проектирование кронштейна и бокса  для внешнего размещения HMI - LCD touch дисплея, хаба АСУ ВУ, RFID и QR считывателя</v>
      </c>
      <c r="E7" s="20" t="str">
        <v>8/2026-n1-горизонт-ver_1-set_2.1-false</v>
      </c>
      <c r="F7" s="19" t="str">
        <f t="shared" si="0"/>
        <v>8/2026-n1-горизонт-ver_1-set_2.1-false</v>
      </c>
      <c r="G7" s="93">
        <v>3</v>
      </c>
      <c r="H7" s="94">
        <f>TabSpecificationWork_2[[#This Row],[COEFFICIENT MARKUP]]*TabSpecificationWork_1[[#This Row],[PRICE UNIT $PURCHASE]]</f>
        <v>300000</v>
      </c>
      <c r="I7" s="94">
        <f>TabSpecificationWork_1[[#This Row],[QUANTITY TOTAL]]*TabSpecificationWork_2[[#This Row],[PRICE UNIT $SALE]]</f>
        <v>300000</v>
      </c>
      <c r="J7" s="95">
        <v>0</v>
      </c>
      <c r="K7" s="104">
        <f>(TabSpecificationWork_2[[#This Row],[COST DEAL $SALE]]/100)*TabSpecificationWork_2[[#This Row],[DISCOUNT PERCENT]]</f>
        <v>0</v>
      </c>
      <c r="L7" s="105"/>
      <c r="M7" s="98">
        <f>_xlfn.LET(
    _xlpm.projNum, _xlfn.XLOOKUP(TabSpecificationWork_2[[#This Row],[HASH COLLECTION]], TabSpecificationWork_1[HASH COLLECTION], TabSpecificationWork_1[NUM PROJECT], ""),
    _xlpm.company, UPPER(TRIM(_xlfn.TEXTAFTER(_xlpm.projNum, "-", 2))),
    IF(_xlpm.company="ГОРИЗОНТ", 0.22, 0)
)</f>
        <v>0.22</v>
      </c>
      <c r="N7" s="104">
        <f>TabSpecificationWork_2[[#This Row],[PRICE UNIT $SALE]]</f>
        <v>300000</v>
      </c>
      <c r="O7" s="99">
        <f>TabSpecificationWork_2[[#This Row],[PRICE UNIT $TOTAL]] * TabSpecificationWork_2[[#This Row],[VAT RATE CONTRACTOR $TOTAL]]</f>
        <v>66000</v>
      </c>
      <c r="P7" s="99">
        <f>TabSpecificationWork_2[[#This Row],[PRICE UNIT $TOTAL]] + TabSpecificationWork_2[[#This Row],[VAT ADD PRICE UNIT $TOTAL]]</f>
        <v>366000</v>
      </c>
      <c r="Q7" s="100">
        <f>TabSpecificationWork_2[[#This Row],[COST DEAL $SALE]]-TabSpecificationWork_2[[#This Row],[DISCOUNT MONEY]]</f>
        <v>300000</v>
      </c>
      <c r="R7" s="101">
        <f>TabSpecificationWork_2[[#This Row],[COST $TOTAL]] * TabSpecificationWork_2[[#This Row],[VAT RATE CONTRACTOR $TOTAL]]</f>
        <v>66000</v>
      </c>
      <c r="S7" s="100">
        <f>TabSpecificationWork_2[[#This Row],[COST $TOTAL]] + TabSpecificationWork_2[[#This Row],[COST ADD VAT $TOTAL]]</f>
        <v>366000</v>
      </c>
      <c r="T7" s="102">
        <v>45</v>
      </c>
      <c r="U7" s="84" t="s">
        <v>30</v>
      </c>
      <c r="V7" s="84" t="s">
        <v>39</v>
      </c>
      <c r="W7" s="106"/>
    </row>
    <row r="8" spans="1:23" ht="72" x14ac:dyDescent="0.3">
      <c r="A8" s="36" t="str">
        <v>Инжиниринг проектный - КР</v>
      </c>
      <c r="B8" s="10" t="str">
        <v>1.6</v>
      </c>
      <c r="C8" s="10">
        <v>1</v>
      </c>
      <c r="D8" s="36" t="str">
        <v>Проведение конструкторской и технологической оценки переноса (изменение) точек крепления колес</v>
      </c>
      <c r="E8" s="20" t="str">
        <v>8/2026-n1-горизонт-ver_1-set_1.6-true</v>
      </c>
      <c r="F8" s="19" t="str">
        <f t="shared" si="0"/>
        <v>8/2026-n1-горизонт-ver_1-set_1.6-true</v>
      </c>
      <c r="G8" s="93">
        <v>2.5</v>
      </c>
      <c r="H8" s="94">
        <f>TabSpecificationWork_2[[#This Row],[COEFFICIENT MARKUP]]*TabSpecificationWork_1[[#This Row],[PRICE UNIT $PURCHASE]]</f>
        <v>62500</v>
      </c>
      <c r="I8" s="94">
        <f>TabSpecificationWork_1[[#This Row],[QUANTITY TOTAL]]*TabSpecificationWork_2[[#This Row],[PRICE UNIT $SALE]]</f>
        <v>62500</v>
      </c>
      <c r="J8" s="95">
        <v>0</v>
      </c>
      <c r="K8" s="104">
        <f>(TabSpecificationWork_2[[#This Row],[COST DEAL $SALE]]/100)*TabSpecificationWork_2[[#This Row],[DISCOUNT PERCENT]]</f>
        <v>0</v>
      </c>
      <c r="L8" s="105"/>
      <c r="M8" s="98">
        <f>_xlfn.LET(
    _xlpm.projNum, _xlfn.XLOOKUP(TabSpecificationWork_2[[#This Row],[HASH COLLECTION]], TabSpecificationWork_1[HASH COLLECTION], TabSpecificationWork_1[NUM PROJECT], ""),
    _xlpm.company, UPPER(TRIM(_xlfn.TEXTAFTER(_xlpm.projNum, "-", 2))),
    IF(_xlpm.company="ГОРИЗОНТ", 0.22, 0)
)</f>
        <v>0.22</v>
      </c>
      <c r="N8" s="104">
        <f>TabSpecificationWork_2[[#This Row],[PRICE UNIT $SALE]]</f>
        <v>62500</v>
      </c>
      <c r="O8" s="99">
        <f>TabSpecificationWork_2[[#This Row],[PRICE UNIT $TOTAL]] * TabSpecificationWork_2[[#This Row],[VAT RATE CONTRACTOR $TOTAL]]</f>
        <v>13750</v>
      </c>
      <c r="P8" s="99">
        <f>TabSpecificationWork_2[[#This Row],[PRICE UNIT $TOTAL]] + TabSpecificationWork_2[[#This Row],[VAT ADD PRICE UNIT $TOTAL]]</f>
        <v>76250</v>
      </c>
      <c r="Q8" s="100">
        <f>TabSpecificationWork_2[[#This Row],[COST DEAL $SALE]]-TabSpecificationWork_2[[#This Row],[DISCOUNT MONEY]]</f>
        <v>62500</v>
      </c>
      <c r="R8" s="101">
        <f>TabSpecificationWork_2[[#This Row],[COST $TOTAL]] * TabSpecificationWork_2[[#This Row],[VAT RATE CONTRACTOR $TOTAL]]</f>
        <v>13750</v>
      </c>
      <c r="S8" s="100">
        <f>TabSpecificationWork_2[[#This Row],[COST $TOTAL]] + TabSpecificationWork_2[[#This Row],[COST ADD VAT $TOTAL]]</f>
        <v>76250</v>
      </c>
      <c r="T8" s="102">
        <v>12</v>
      </c>
      <c r="U8" s="84" t="s">
        <v>30</v>
      </c>
      <c r="V8" s="84" t="s">
        <v>39</v>
      </c>
      <c r="W8" s="106"/>
    </row>
    <row r="9" spans="1:23" ht="43.2" x14ac:dyDescent="0.3">
      <c r="A9" s="36" t="str">
        <v>Инжиниринг проектный - КР</v>
      </c>
      <c r="B9" s="10" t="str">
        <v>1.7</v>
      </c>
      <c r="C9" s="10">
        <v>1</v>
      </c>
      <c r="D9" s="36" t="str">
        <v>Проектирование кронштейна  камер видеонаблюдения</v>
      </c>
      <c r="E9" s="20" t="str">
        <v>8/2026-n1-горизонт-ver_1-set_1.7-true</v>
      </c>
      <c r="F9" s="19" t="str">
        <f t="shared" si="0"/>
        <v>8/2026-n1-горизонт-ver_1-set_1.7-true</v>
      </c>
      <c r="G9" s="93">
        <v>3</v>
      </c>
      <c r="H9" s="94">
        <f>TabSpecificationWork_2[[#This Row],[COEFFICIENT MARKUP]]*TabSpecificationWork_1[[#This Row],[PRICE UNIT $PURCHASE]]</f>
        <v>75000</v>
      </c>
      <c r="I9" s="94">
        <f>TabSpecificationWork_1[[#This Row],[QUANTITY TOTAL]]*TabSpecificationWork_2[[#This Row],[PRICE UNIT $SALE]]</f>
        <v>75000</v>
      </c>
      <c r="J9" s="95">
        <v>0</v>
      </c>
      <c r="K9" s="104">
        <f>(TabSpecificationWork_2[[#This Row],[COST DEAL $SALE]]/100)*TabSpecificationWork_2[[#This Row],[DISCOUNT PERCENT]]</f>
        <v>0</v>
      </c>
      <c r="L9" s="105"/>
      <c r="M9" s="98">
        <f>_xlfn.LET(
    _xlpm.projNum, _xlfn.XLOOKUP(TabSpecificationWork_2[[#This Row],[HASH COLLECTION]], TabSpecificationWork_1[HASH COLLECTION], TabSpecificationWork_1[NUM PROJECT], ""),
    _xlpm.company, UPPER(TRIM(_xlfn.TEXTAFTER(_xlpm.projNum, "-", 2))),
    IF(_xlpm.company="ГОРИЗОНТ", 0.22, 0)
)</f>
        <v>0.22</v>
      </c>
      <c r="N9" s="104">
        <f>TabSpecificationWork_2[[#This Row],[PRICE UNIT $SALE]]</f>
        <v>75000</v>
      </c>
      <c r="O9" s="99">
        <f>TabSpecificationWork_2[[#This Row],[PRICE UNIT $TOTAL]] * TabSpecificationWork_2[[#This Row],[VAT RATE CONTRACTOR $TOTAL]]</f>
        <v>16500</v>
      </c>
      <c r="P9" s="99">
        <f>TabSpecificationWork_2[[#This Row],[PRICE UNIT $TOTAL]] + TabSpecificationWork_2[[#This Row],[VAT ADD PRICE UNIT $TOTAL]]</f>
        <v>91500</v>
      </c>
      <c r="Q9" s="100">
        <f>TabSpecificationWork_2[[#This Row],[COST DEAL $SALE]]-TabSpecificationWork_2[[#This Row],[DISCOUNT MONEY]]</f>
        <v>75000</v>
      </c>
      <c r="R9" s="101">
        <f>TabSpecificationWork_2[[#This Row],[COST $TOTAL]] * TabSpecificationWork_2[[#This Row],[VAT RATE CONTRACTOR $TOTAL]]</f>
        <v>16500</v>
      </c>
      <c r="S9" s="100">
        <f>TabSpecificationWork_2[[#This Row],[COST $TOTAL]] + TabSpecificationWork_2[[#This Row],[COST ADD VAT $TOTAL]]</f>
        <v>91500</v>
      </c>
      <c r="T9" s="102">
        <v>12</v>
      </c>
      <c r="U9" s="84" t="s">
        <v>30</v>
      </c>
      <c r="V9" s="84" t="s">
        <v>39</v>
      </c>
      <c r="W9" s="106"/>
    </row>
    <row r="10" spans="1:23" ht="43.2" hidden="1" x14ac:dyDescent="0.3">
      <c r="A10" s="36" t="str">
        <v>Инжиниринг проектный - КР</v>
      </c>
      <c r="B10" s="10" t="str">
        <v>4.1</v>
      </c>
      <c r="C10" s="10">
        <v>1</v>
      </c>
      <c r="D10" s="36" t="str">
        <v>Проектирование двери спиральной секции т 2-х приемников ТМЦ</v>
      </c>
      <c r="E10" s="20" t="str">
        <v>8/2026-n1-горизонт-ver_1-set_4.1-false</v>
      </c>
      <c r="F10" s="19" t="str">
        <f t="shared" si="0"/>
        <v>8/2026-n1-горизонт-ver_1-set_4.1-false</v>
      </c>
      <c r="G10" s="93">
        <v>1</v>
      </c>
      <c r="H10" s="94">
        <f>TabSpecificationWork_2[[#This Row],[COEFFICIENT MARKUP]]*TabSpecificationWork_1[[#This Row],[PRICE UNIT $PURCHASE]]</f>
        <v>100000</v>
      </c>
      <c r="I10" s="94">
        <f>TabSpecificationWork_1[[#This Row],[QUANTITY TOTAL]]*TabSpecificationWork_2[[#This Row],[PRICE UNIT $SALE]]</f>
        <v>100000</v>
      </c>
      <c r="J10" s="95">
        <v>0</v>
      </c>
      <c r="K10" s="104">
        <f>(TabSpecificationWork_2[[#This Row],[COST DEAL $SALE]]/100)*TabSpecificationWork_2[[#This Row],[DISCOUNT PERCENT]]</f>
        <v>0</v>
      </c>
      <c r="L10" s="105"/>
      <c r="M10" s="98">
        <f>_xlfn.LET(
    _xlpm.projNum, _xlfn.XLOOKUP(TabSpecificationWork_2[[#This Row],[HASH COLLECTION]], TabSpecificationWork_1[HASH COLLECTION], TabSpecificationWork_1[NUM PROJECT], ""),
    _xlpm.company, UPPER(TRIM(_xlfn.TEXTAFTER(_xlpm.projNum, "-", 2))),
    IF(_xlpm.company="ГОРИЗОНТ", 0.22, 0)
)</f>
        <v>0.22</v>
      </c>
      <c r="N10" s="104">
        <f>TabSpecificationWork_2[[#This Row],[PRICE UNIT $SALE]]</f>
        <v>100000</v>
      </c>
      <c r="O10" s="99">
        <f>TabSpecificationWork_2[[#This Row],[PRICE UNIT $TOTAL]] * TabSpecificationWork_2[[#This Row],[VAT RATE CONTRACTOR $TOTAL]]</f>
        <v>22000</v>
      </c>
      <c r="P10" s="99">
        <f>TabSpecificationWork_2[[#This Row],[PRICE UNIT $TOTAL]] + TabSpecificationWork_2[[#This Row],[VAT ADD PRICE UNIT $TOTAL]]</f>
        <v>122000</v>
      </c>
      <c r="Q10" s="100">
        <f>TabSpecificationWork_2[[#This Row],[COST DEAL $SALE]]-TabSpecificationWork_2[[#This Row],[DISCOUNT MONEY]]</f>
        <v>100000</v>
      </c>
      <c r="R10" s="101">
        <f>TabSpecificationWork_2[[#This Row],[COST $TOTAL]] * TabSpecificationWork_2[[#This Row],[VAT RATE CONTRACTOR $TOTAL]]</f>
        <v>22000</v>
      </c>
      <c r="S10" s="100">
        <f>TabSpecificationWork_2[[#This Row],[COST $TOTAL]] + TabSpecificationWork_2[[#This Row],[COST ADD VAT $TOTAL]]</f>
        <v>122000</v>
      </c>
      <c r="T10" s="102">
        <v>45</v>
      </c>
      <c r="U10" s="84" t="s">
        <v>30</v>
      </c>
      <c r="V10" s="84" t="s">
        <v>39</v>
      </c>
      <c r="W10" s="106"/>
    </row>
    <row r="11" spans="1:23" x14ac:dyDescent="0.3">
      <c r="F11" s="12" t="s">
        <v>705</v>
      </c>
      <c r="G11" s="108"/>
      <c r="H11" s="79"/>
      <c r="I11" s="80"/>
      <c r="J11" s="53"/>
      <c r="K11" s="53"/>
      <c r="L11" s="53"/>
      <c r="M11" s="53"/>
      <c r="N11" s="53"/>
      <c r="O11" s="53"/>
      <c r="P11" s="53"/>
      <c r="Q11" s="51">
        <f>SUBTOTAL(109,TabSpecificationWork_2[COST $TOTAL])</f>
        <v>1181800</v>
      </c>
      <c r="R11" s="51"/>
      <c r="S11" s="51">
        <f>SUBTOTAL(109,TabSpecificationWork_2[COST VAT $TOTAL])</f>
        <v>1441796</v>
      </c>
      <c r="T11" s="107">
        <f>SUBTOTAL(109,TabSpecificationWork_2[DURATION SALE $TOTAL])</f>
        <v>108</v>
      </c>
      <c r="U11" s="54"/>
      <c r="V11" s="54"/>
      <c r="W11" s="53">
        <f>SUBTOTAL(103,TabSpecificationWork_2[COMMENT CUSTOMER])</f>
        <v>0</v>
      </c>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10" xr:uid="{8BE1788F-427C-4C8A-973B-3BED45D75508}"/>
  <phoneticPr fontId="19" type="noConversion"/>
  <conditionalFormatting sqref="F2:F10">
    <cfRule type="notContainsBlanks" dxfId="12" priority="12">
      <formula>LEN(TRIM(F2))&gt;0</formula>
    </cfRule>
  </conditionalFormatting>
  <conditionalFormatting sqref="H2 H3:I10">
    <cfRule type="notContainsBlanks" dxfId="11" priority="11">
      <formula>LEN(TRIM(H2))&gt;0</formula>
    </cfRule>
  </conditionalFormatting>
  <conditionalFormatting sqref="I2">
    <cfRule type="notContainsBlanks" dxfId="10" priority="10">
      <formula>LEN(TRIM(I2))&gt;0</formula>
    </cfRule>
  </conditionalFormatting>
  <conditionalFormatting sqref="K2:K10">
    <cfRule type="notContainsBlanks" dxfId="9" priority="9">
      <formula>LEN(TRIM(K2))&gt;0</formula>
    </cfRule>
  </conditionalFormatting>
  <conditionalFormatting sqref="M2:M10">
    <cfRule type="notContainsBlanks" dxfId="8" priority="7">
      <formula>LEN(TRIM(M2))&gt;0</formula>
    </cfRule>
  </conditionalFormatting>
  <conditionalFormatting sqref="Q2:Q10">
    <cfRule type="notContainsBlanks" dxfId="7" priority="13">
      <formula>LEN(TRIM(Q2))&gt;0</formula>
    </cfRule>
  </conditionalFormatting>
  <conditionalFormatting sqref="V2:V10">
    <cfRule type="expression" dxfId="6" priority="6">
      <formula>IF($V2="true",1,0)</formula>
    </cfRule>
  </conditionalFormatting>
  <dataValidations count="2">
    <dataValidation type="list" showInputMessage="1" showErrorMessage="1" sqref="V2:V10" xr:uid="{0140C6BC-EE55-4B04-856D-84DE8E6BB8E2}">
      <formula1>"false,true,"</formula1>
    </dataValidation>
    <dataValidation type="list" showInputMessage="1" showErrorMessage="1" sqref="U2:U10" xr:uid="{AE30E414-4F03-4AC9-8B9A-9DAE797387C1}">
      <formula1>"true,false,"</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M31"/>
  <sheetViews>
    <sheetView topLeftCell="L1" zoomScale="85" zoomScaleNormal="85" workbookViewId="0">
      <pane ySplit="1" topLeftCell="A2" activePane="bottomLeft" state="frozen"/>
      <selection pane="bottomLeft" activeCell="Q5" sqref="Q5"/>
    </sheetView>
  </sheetViews>
  <sheetFormatPr defaultRowHeight="14.4" x14ac:dyDescent="0.3"/>
  <cols>
    <col min="1" max="1" width="12.109375" bestFit="1" customWidth="1"/>
    <col min="2" max="2" width="14" bestFit="1" customWidth="1"/>
    <col min="3" max="3" width="20.44140625" bestFit="1" customWidth="1"/>
    <col min="4" max="4" width="17.44140625" bestFit="1" customWidth="1"/>
    <col min="5" max="5" width="21.109375" bestFit="1" customWidth="1"/>
    <col min="6" max="6" width="66.6640625" bestFit="1" customWidth="1"/>
    <col min="7" max="7" width="10.6640625" bestFit="1" customWidth="1"/>
    <col min="8" max="8" width="24.6640625" bestFit="1" customWidth="1"/>
    <col min="9" max="9" width="19.21875" bestFit="1" customWidth="1"/>
    <col min="10" max="10" width="15.109375" bestFit="1" customWidth="1"/>
    <col min="11" max="11" width="36.33203125" bestFit="1" customWidth="1"/>
    <col min="12" max="12" width="80.88671875" bestFit="1" customWidth="1"/>
    <col min="13" max="13" width="63" bestFit="1" customWidth="1"/>
    <col min="14" max="14" width="12.6640625" bestFit="1" customWidth="1"/>
    <col min="15" max="15" width="14.5546875" bestFit="1" customWidth="1"/>
    <col min="16" max="16" width="22.44140625" bestFit="1" customWidth="1"/>
    <col min="17" max="17" width="22.88671875" bestFit="1" customWidth="1"/>
    <col min="18" max="18" width="11.5546875" bestFit="1" customWidth="1"/>
    <col min="19" max="19" width="19.21875" bestFit="1" customWidth="1"/>
    <col min="20" max="20" width="27.5546875" bestFit="1" customWidth="1"/>
    <col min="21" max="21" width="21.77734375" bestFit="1" customWidth="1"/>
    <col min="22" max="22" width="24.5546875" bestFit="1" customWidth="1"/>
    <col min="23" max="23" width="27.33203125" bestFit="1" customWidth="1"/>
    <col min="24" max="24" width="27.6640625" bestFit="1" customWidth="1"/>
    <col min="25" max="25" width="17.109375" bestFit="1" customWidth="1"/>
    <col min="26" max="26" width="80.88671875" bestFit="1" customWidth="1"/>
    <col min="27" max="27" width="21.44140625" bestFit="1" customWidth="1"/>
    <col min="28" max="28" width="26" bestFit="1" customWidth="1"/>
    <col min="29" max="29" width="22" bestFit="1" customWidth="1"/>
    <col min="30" max="30" width="21.88671875" bestFit="1" customWidth="1"/>
    <col min="31" max="31" width="24.109375" bestFit="1" customWidth="1"/>
    <col min="32" max="32" width="22.88671875" bestFit="1" customWidth="1"/>
    <col min="33" max="33" width="28.33203125" bestFit="1" customWidth="1"/>
    <col min="34" max="34" width="23.6640625" bestFit="1" customWidth="1"/>
    <col min="35" max="35" width="18.109375" bestFit="1" customWidth="1"/>
    <col min="36" max="36" width="20.77734375" bestFit="1" customWidth="1"/>
    <col min="37" max="37" width="16" bestFit="1" customWidth="1"/>
    <col min="38" max="38" width="18.88671875" bestFit="1" customWidth="1"/>
    <col min="39" max="39" width="80.88671875" bestFit="1" customWidth="1"/>
    <col min="40" max="40" width="81.109375" bestFit="1" customWidth="1"/>
  </cols>
  <sheetData>
    <row r="1" spans="1:39" ht="28.8"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27</v>
      </c>
      <c r="AB1" s="11" t="s">
        <v>128</v>
      </c>
      <c r="AC1" s="11" t="s">
        <v>129</v>
      </c>
      <c r="AD1" s="11" t="s">
        <v>130</v>
      </c>
      <c r="AE1" s="11" t="s">
        <v>131</v>
      </c>
      <c r="AF1" s="11" t="s">
        <v>132</v>
      </c>
      <c r="AG1" s="11" t="s">
        <v>133</v>
      </c>
      <c r="AH1" s="11" t="s">
        <v>134</v>
      </c>
      <c r="AI1" s="11" t="s">
        <v>135</v>
      </c>
      <c r="AJ1" s="11" t="s">
        <v>136</v>
      </c>
      <c r="AK1" s="11" t="s">
        <v>137</v>
      </c>
      <c r="AL1" s="11" t="s">
        <v>138</v>
      </c>
      <c r="AM1" s="11" t="s">
        <v>139</v>
      </c>
    </row>
    <row r="2" spans="1:39" ht="244.8" x14ac:dyDescent="0.3">
      <c r="A2" s="59">
        <v>1</v>
      </c>
      <c r="B2" s="59">
        <v>0</v>
      </c>
      <c r="C2" s="59" t="s">
        <v>28</v>
      </c>
      <c r="D2" s="59" t="s">
        <v>146</v>
      </c>
      <c r="E2" s="59">
        <v>3</v>
      </c>
      <c r="F2" s="60" t="s">
        <v>29</v>
      </c>
      <c r="G2" s="59">
        <v>2</v>
      </c>
      <c r="H2" s="59">
        <v>4</v>
      </c>
      <c r="I2" s="59" t="s">
        <v>147</v>
      </c>
      <c r="J2" s="59" t="s">
        <v>30</v>
      </c>
      <c r="K2" s="59" t="s">
        <v>148</v>
      </c>
      <c r="L2" s="60" t="s">
        <v>31</v>
      </c>
      <c r="M2" s="60" t="s">
        <v>32</v>
      </c>
      <c r="N2" s="59" t="s">
        <v>33</v>
      </c>
      <c r="O2" s="59" t="s">
        <v>34</v>
      </c>
      <c r="P2" s="61" t="s">
        <v>35</v>
      </c>
      <c r="Q2" s="59"/>
      <c r="R2" s="59" t="s">
        <v>36</v>
      </c>
      <c r="S2" s="59">
        <v>1</v>
      </c>
      <c r="T2" s="59">
        <v>1</v>
      </c>
      <c r="U2" s="59">
        <v>1</v>
      </c>
      <c r="V2" s="59">
        <v>5</v>
      </c>
      <c r="W2" s="62">
        <v>16000</v>
      </c>
      <c r="X2" s="62">
        <v>16000</v>
      </c>
      <c r="Y2" s="63"/>
      <c r="Z2" s="60" t="s">
        <v>37</v>
      </c>
      <c r="AA2" s="63"/>
      <c r="AB2" s="64">
        <v>3.77</v>
      </c>
      <c r="AC2" s="62">
        <v>60320</v>
      </c>
      <c r="AD2" s="62">
        <v>60320</v>
      </c>
      <c r="AE2" s="63">
        <v>0</v>
      </c>
      <c r="AF2" s="63">
        <v>0</v>
      </c>
      <c r="AG2" s="63"/>
      <c r="AH2" s="62">
        <v>60320</v>
      </c>
      <c r="AI2" s="62">
        <v>60320</v>
      </c>
      <c r="AJ2" s="63"/>
      <c r="AK2" s="59" t="s">
        <v>30</v>
      </c>
      <c r="AL2" s="59" t="s">
        <v>39</v>
      </c>
      <c r="AM2" s="65" t="s">
        <v>140</v>
      </c>
    </row>
    <row r="3" spans="1:39" ht="187.2" x14ac:dyDescent="0.3">
      <c r="A3" s="18">
        <v>2</v>
      </c>
      <c r="B3" s="18">
        <v>0</v>
      </c>
      <c r="C3" s="18" t="s">
        <v>28</v>
      </c>
      <c r="D3" s="18" t="s">
        <v>146</v>
      </c>
      <c r="E3" s="18">
        <v>3</v>
      </c>
      <c r="F3" s="47" t="s">
        <v>38</v>
      </c>
      <c r="G3" s="18">
        <v>4</v>
      </c>
      <c r="H3" s="18">
        <v>5</v>
      </c>
      <c r="I3" s="18" t="s">
        <v>149</v>
      </c>
      <c r="J3" s="18" t="s">
        <v>39</v>
      </c>
      <c r="K3" s="18" t="s">
        <v>150</v>
      </c>
      <c r="L3" s="47" t="s">
        <v>40</v>
      </c>
      <c r="M3" s="47" t="s">
        <v>41</v>
      </c>
      <c r="N3" s="18" t="s">
        <v>42</v>
      </c>
      <c r="O3" s="18" t="s">
        <v>43</v>
      </c>
      <c r="P3" s="48" t="s">
        <v>44</v>
      </c>
      <c r="Q3" s="18"/>
      <c r="R3" s="18" t="s">
        <v>36</v>
      </c>
      <c r="S3" s="18">
        <v>8</v>
      </c>
      <c r="T3" s="18">
        <v>1</v>
      </c>
      <c r="U3" s="18">
        <v>8</v>
      </c>
      <c r="V3" s="18">
        <v>8</v>
      </c>
      <c r="W3" s="39">
        <v>3760</v>
      </c>
      <c r="X3" s="39">
        <v>30080</v>
      </c>
      <c r="Y3" s="38"/>
      <c r="Z3" s="47" t="s">
        <v>45</v>
      </c>
      <c r="AA3" s="38"/>
      <c r="AB3" s="40">
        <v>1.1499999999999999</v>
      </c>
      <c r="AC3" s="39">
        <v>4324</v>
      </c>
      <c r="AD3" s="39">
        <v>34592</v>
      </c>
      <c r="AE3" s="38">
        <v>0</v>
      </c>
      <c r="AF3" s="38">
        <v>0</v>
      </c>
      <c r="AG3" s="38"/>
      <c r="AH3" s="39">
        <v>4324</v>
      </c>
      <c r="AI3" s="39">
        <v>34592</v>
      </c>
      <c r="AJ3" s="38"/>
      <c r="AK3" s="18" t="s">
        <v>30</v>
      </c>
      <c r="AL3" s="18" t="s">
        <v>30</v>
      </c>
      <c r="AM3" s="49"/>
    </row>
    <row r="4" spans="1:39" ht="100.8" x14ac:dyDescent="0.3">
      <c r="A4" s="18">
        <v>3</v>
      </c>
      <c r="B4" s="18">
        <v>0</v>
      </c>
      <c r="C4" s="18" t="s">
        <v>28</v>
      </c>
      <c r="D4" s="18" t="s">
        <v>146</v>
      </c>
      <c r="E4" s="18">
        <v>3</v>
      </c>
      <c r="F4" s="47" t="s">
        <v>38</v>
      </c>
      <c r="G4" s="18">
        <v>4</v>
      </c>
      <c r="H4" s="18">
        <v>6</v>
      </c>
      <c r="I4" s="18" t="s">
        <v>151</v>
      </c>
      <c r="J4" s="18" t="s">
        <v>30</v>
      </c>
      <c r="K4" s="18" t="s">
        <v>152</v>
      </c>
      <c r="L4" s="47" t="s">
        <v>46</v>
      </c>
      <c r="M4" s="47" t="s">
        <v>47</v>
      </c>
      <c r="N4" s="18" t="s">
        <v>48</v>
      </c>
      <c r="O4" s="18" t="s">
        <v>49</v>
      </c>
      <c r="P4" s="48" t="s">
        <v>50</v>
      </c>
      <c r="Q4" s="18"/>
      <c r="R4" s="18" t="s">
        <v>36</v>
      </c>
      <c r="S4" s="18">
        <v>4</v>
      </c>
      <c r="T4" s="18">
        <v>1</v>
      </c>
      <c r="U4" s="18">
        <v>4</v>
      </c>
      <c r="V4" s="18">
        <v>1000</v>
      </c>
      <c r="W4" s="39">
        <v>2450</v>
      </c>
      <c r="X4" s="39">
        <v>9800</v>
      </c>
      <c r="Y4" s="38"/>
      <c r="Z4" s="47" t="s">
        <v>51</v>
      </c>
      <c r="AA4" s="38"/>
      <c r="AB4" s="40">
        <v>1.1000000000000001</v>
      </c>
      <c r="AC4" s="39">
        <v>2695</v>
      </c>
      <c r="AD4" s="39">
        <v>10780</v>
      </c>
      <c r="AE4" s="38">
        <v>0</v>
      </c>
      <c r="AF4" s="38">
        <v>0</v>
      </c>
      <c r="AG4" s="38"/>
      <c r="AH4" s="39">
        <v>2695</v>
      </c>
      <c r="AI4" s="39">
        <v>10780</v>
      </c>
      <c r="AJ4" s="38"/>
      <c r="AK4" s="18" t="s">
        <v>39</v>
      </c>
      <c r="AL4" s="18" t="s">
        <v>39</v>
      </c>
      <c r="AM4" s="49" t="s">
        <v>141</v>
      </c>
    </row>
    <row r="5" spans="1:39" ht="86.4" x14ac:dyDescent="0.3">
      <c r="A5" s="18">
        <v>4</v>
      </c>
      <c r="B5" s="18">
        <v>0</v>
      </c>
      <c r="C5" s="18" t="s">
        <v>28</v>
      </c>
      <c r="D5" s="18" t="s">
        <v>146</v>
      </c>
      <c r="E5" s="18">
        <v>3</v>
      </c>
      <c r="F5" s="47" t="s">
        <v>52</v>
      </c>
      <c r="G5" s="18">
        <v>3</v>
      </c>
      <c r="H5" s="18">
        <v>1</v>
      </c>
      <c r="I5" s="18" t="s">
        <v>153</v>
      </c>
      <c r="J5" s="18" t="s">
        <v>30</v>
      </c>
      <c r="K5" s="18" t="s">
        <v>154</v>
      </c>
      <c r="L5" s="47" t="s">
        <v>53</v>
      </c>
      <c r="M5" s="47" t="s">
        <v>54</v>
      </c>
      <c r="N5" s="18" t="s">
        <v>55</v>
      </c>
      <c r="O5" s="18" t="s">
        <v>56</v>
      </c>
      <c r="P5" s="48" t="s">
        <v>57</v>
      </c>
      <c r="Q5" s="18"/>
      <c r="R5" s="18" t="s">
        <v>36</v>
      </c>
      <c r="S5" s="18">
        <v>22</v>
      </c>
      <c r="T5" s="18">
        <v>1</v>
      </c>
      <c r="U5" s="18">
        <v>22</v>
      </c>
      <c r="V5" s="18">
        <v>25</v>
      </c>
      <c r="W5" s="39">
        <v>615</v>
      </c>
      <c r="X5" s="39">
        <v>13530</v>
      </c>
      <c r="Y5" s="38"/>
      <c r="Z5" s="47" t="s">
        <v>58</v>
      </c>
      <c r="AA5" s="38"/>
      <c r="AB5" s="40">
        <v>1.35</v>
      </c>
      <c r="AC5" s="39">
        <v>830.25</v>
      </c>
      <c r="AD5" s="39">
        <v>18265.5</v>
      </c>
      <c r="AE5" s="38">
        <v>0</v>
      </c>
      <c r="AF5" s="38">
        <v>0</v>
      </c>
      <c r="AG5" s="38"/>
      <c r="AH5" s="39">
        <v>830.25</v>
      </c>
      <c r="AI5" s="39">
        <v>18265.5</v>
      </c>
      <c r="AJ5" s="38"/>
      <c r="AK5" s="18" t="s">
        <v>30</v>
      </c>
      <c r="AL5" s="18" t="s">
        <v>30</v>
      </c>
      <c r="AM5" s="49" t="s">
        <v>142</v>
      </c>
    </row>
    <row r="6" spans="1:39" ht="43.2" x14ac:dyDescent="0.3">
      <c r="A6" s="18">
        <v>5</v>
      </c>
      <c r="B6" s="18">
        <v>0</v>
      </c>
      <c r="C6" s="18" t="s">
        <v>28</v>
      </c>
      <c r="D6" s="18" t="s">
        <v>146</v>
      </c>
      <c r="E6" s="18">
        <v>3</v>
      </c>
      <c r="F6" s="47" t="s">
        <v>52</v>
      </c>
      <c r="G6" s="18">
        <v>3</v>
      </c>
      <c r="H6" s="18">
        <v>2</v>
      </c>
      <c r="I6" s="18" t="s">
        <v>155</v>
      </c>
      <c r="J6" s="18" t="s">
        <v>30</v>
      </c>
      <c r="K6" s="18" t="s">
        <v>156</v>
      </c>
      <c r="L6" s="47" t="s">
        <v>59</v>
      </c>
      <c r="M6" s="47" t="s">
        <v>60</v>
      </c>
      <c r="N6" s="18" t="s">
        <v>61</v>
      </c>
      <c r="O6" s="18" t="s">
        <v>56</v>
      </c>
      <c r="P6" s="48" t="s">
        <v>62</v>
      </c>
      <c r="Q6" s="18"/>
      <c r="R6" s="18" t="s">
        <v>36</v>
      </c>
      <c r="S6" s="18">
        <v>4</v>
      </c>
      <c r="T6" s="18">
        <v>1</v>
      </c>
      <c r="U6" s="18">
        <v>4</v>
      </c>
      <c r="V6" s="18">
        <v>100</v>
      </c>
      <c r="W6" s="39">
        <v>649</v>
      </c>
      <c r="X6" s="39">
        <v>2596</v>
      </c>
      <c r="Y6" s="38"/>
      <c r="Z6" s="47" t="s">
        <v>63</v>
      </c>
      <c r="AA6" s="38"/>
      <c r="AB6" s="40">
        <v>1.35</v>
      </c>
      <c r="AC6" s="39">
        <v>876.15000000000009</v>
      </c>
      <c r="AD6" s="39">
        <v>3504.6000000000004</v>
      </c>
      <c r="AE6" s="38">
        <v>0</v>
      </c>
      <c r="AF6" s="38">
        <v>0</v>
      </c>
      <c r="AG6" s="38"/>
      <c r="AH6" s="39">
        <v>876.15000000000009</v>
      </c>
      <c r="AI6" s="39">
        <v>3504.6000000000004</v>
      </c>
      <c r="AJ6" s="38"/>
      <c r="AK6" s="18" t="s">
        <v>30</v>
      </c>
      <c r="AL6" s="18" t="s">
        <v>39</v>
      </c>
      <c r="AM6" s="49" t="s">
        <v>143</v>
      </c>
    </row>
    <row r="7" spans="1:39" ht="43.2" x14ac:dyDescent="0.3">
      <c r="A7" s="18">
        <v>6</v>
      </c>
      <c r="B7" s="18">
        <v>0</v>
      </c>
      <c r="C7" s="18" t="s">
        <v>28</v>
      </c>
      <c r="D7" s="18" t="s">
        <v>146</v>
      </c>
      <c r="E7" s="18">
        <v>3</v>
      </c>
      <c r="F7" s="47" t="s">
        <v>52</v>
      </c>
      <c r="G7" s="18">
        <v>3</v>
      </c>
      <c r="H7" s="18">
        <v>3</v>
      </c>
      <c r="I7" s="18" t="s">
        <v>157</v>
      </c>
      <c r="J7" s="18" t="s">
        <v>30</v>
      </c>
      <c r="K7" s="18" t="s">
        <v>158</v>
      </c>
      <c r="L7" s="47" t="s">
        <v>64</v>
      </c>
      <c r="M7" s="47" t="s">
        <v>65</v>
      </c>
      <c r="N7" s="18" t="s">
        <v>61</v>
      </c>
      <c r="O7" s="18" t="s">
        <v>56</v>
      </c>
      <c r="P7" s="48" t="s">
        <v>66</v>
      </c>
      <c r="Q7" s="18"/>
      <c r="R7" s="18" t="s">
        <v>36</v>
      </c>
      <c r="S7" s="18">
        <v>4</v>
      </c>
      <c r="T7" s="18">
        <v>1</v>
      </c>
      <c r="U7" s="18">
        <v>4</v>
      </c>
      <c r="V7" s="18">
        <v>5</v>
      </c>
      <c r="W7" s="39">
        <v>470</v>
      </c>
      <c r="X7" s="39">
        <v>1880</v>
      </c>
      <c r="Y7" s="38"/>
      <c r="Z7" s="47" t="s">
        <v>63</v>
      </c>
      <c r="AA7" s="38"/>
      <c r="AB7" s="40">
        <v>1.35</v>
      </c>
      <c r="AC7" s="39">
        <v>634.5</v>
      </c>
      <c r="AD7" s="39">
        <v>2538</v>
      </c>
      <c r="AE7" s="38">
        <v>0</v>
      </c>
      <c r="AF7" s="38">
        <v>0</v>
      </c>
      <c r="AG7" s="38"/>
      <c r="AH7" s="39">
        <v>634.5</v>
      </c>
      <c r="AI7" s="39">
        <v>2538</v>
      </c>
      <c r="AJ7" s="38"/>
      <c r="AK7" s="18" t="s">
        <v>30</v>
      </c>
      <c r="AL7" s="18" t="s">
        <v>39</v>
      </c>
      <c r="AM7" s="49" t="s">
        <v>143</v>
      </c>
    </row>
    <row r="8" spans="1:39" ht="43.2" x14ac:dyDescent="0.3">
      <c r="A8" s="18">
        <v>7</v>
      </c>
      <c r="B8" s="18">
        <v>0</v>
      </c>
      <c r="C8" s="18" t="s">
        <v>28</v>
      </c>
      <c r="D8" s="18" t="s">
        <v>146</v>
      </c>
      <c r="E8" s="18">
        <v>3</v>
      </c>
      <c r="F8" s="47" t="s">
        <v>52</v>
      </c>
      <c r="G8" s="18">
        <v>3</v>
      </c>
      <c r="H8" s="18">
        <v>4</v>
      </c>
      <c r="I8" s="18" t="s">
        <v>159</v>
      </c>
      <c r="J8" s="18" t="s">
        <v>30</v>
      </c>
      <c r="K8" s="18" t="s">
        <v>160</v>
      </c>
      <c r="L8" s="47" t="s">
        <v>67</v>
      </c>
      <c r="M8" s="47" t="s">
        <v>68</v>
      </c>
      <c r="N8" s="18" t="s">
        <v>61</v>
      </c>
      <c r="O8" s="18" t="s">
        <v>56</v>
      </c>
      <c r="P8" s="48" t="s">
        <v>69</v>
      </c>
      <c r="Q8" s="18"/>
      <c r="R8" s="18" t="s">
        <v>36</v>
      </c>
      <c r="S8" s="18">
        <v>4</v>
      </c>
      <c r="T8" s="18">
        <v>1</v>
      </c>
      <c r="U8" s="18">
        <v>4</v>
      </c>
      <c r="V8" s="18">
        <v>10</v>
      </c>
      <c r="W8" s="39">
        <v>425</v>
      </c>
      <c r="X8" s="39">
        <v>1700</v>
      </c>
      <c r="Y8" s="38"/>
      <c r="Z8" s="47" t="s">
        <v>63</v>
      </c>
      <c r="AA8" s="38"/>
      <c r="AB8" s="40">
        <v>1.35</v>
      </c>
      <c r="AC8" s="39">
        <v>573.75</v>
      </c>
      <c r="AD8" s="39">
        <v>2295</v>
      </c>
      <c r="AE8" s="38">
        <v>0</v>
      </c>
      <c r="AF8" s="38">
        <v>0</v>
      </c>
      <c r="AG8" s="38"/>
      <c r="AH8" s="39">
        <v>573.75</v>
      </c>
      <c r="AI8" s="39">
        <v>2295</v>
      </c>
      <c r="AJ8" s="38"/>
      <c r="AK8" s="18" t="s">
        <v>30</v>
      </c>
      <c r="AL8" s="18" t="s">
        <v>39</v>
      </c>
      <c r="AM8" s="49" t="s">
        <v>143</v>
      </c>
    </row>
    <row r="9" spans="1:39" ht="57.6" x14ac:dyDescent="0.3">
      <c r="A9" s="18">
        <v>8</v>
      </c>
      <c r="B9" s="18">
        <v>0</v>
      </c>
      <c r="C9" s="18" t="s">
        <v>28</v>
      </c>
      <c r="D9" s="18" t="s">
        <v>146</v>
      </c>
      <c r="E9" s="18">
        <v>3</v>
      </c>
      <c r="F9" s="47" t="s">
        <v>70</v>
      </c>
      <c r="G9" s="18">
        <v>3</v>
      </c>
      <c r="H9" s="18">
        <v>5</v>
      </c>
      <c r="I9" s="18" t="s">
        <v>161</v>
      </c>
      <c r="J9" s="18" t="s">
        <v>30</v>
      </c>
      <c r="K9" s="18" t="s">
        <v>162</v>
      </c>
      <c r="L9" s="47" t="s">
        <v>71</v>
      </c>
      <c r="M9" s="47" t="s">
        <v>72</v>
      </c>
      <c r="N9" s="18" t="s">
        <v>48</v>
      </c>
      <c r="O9" s="18" t="s">
        <v>49</v>
      </c>
      <c r="P9" s="48" t="s">
        <v>73</v>
      </c>
      <c r="Q9" s="18"/>
      <c r="R9" s="18" t="s">
        <v>36</v>
      </c>
      <c r="S9" s="18">
        <v>1</v>
      </c>
      <c r="T9" s="18">
        <v>1</v>
      </c>
      <c r="U9" s="18">
        <v>1</v>
      </c>
      <c r="V9" s="18">
        <v>10</v>
      </c>
      <c r="W9" s="39">
        <v>2596</v>
      </c>
      <c r="X9" s="39">
        <v>2596</v>
      </c>
      <c r="Y9" s="38"/>
      <c r="Z9" s="47" t="s">
        <v>74</v>
      </c>
      <c r="AA9" s="38"/>
      <c r="AB9" s="40">
        <v>2</v>
      </c>
      <c r="AC9" s="39">
        <v>5192</v>
      </c>
      <c r="AD9" s="39">
        <v>5192</v>
      </c>
      <c r="AE9" s="38">
        <v>0</v>
      </c>
      <c r="AF9" s="38">
        <v>0</v>
      </c>
      <c r="AG9" s="38"/>
      <c r="AH9" s="39">
        <v>5192</v>
      </c>
      <c r="AI9" s="39">
        <v>5192</v>
      </c>
      <c r="AJ9" s="38"/>
      <c r="AK9" s="18" t="s">
        <v>30</v>
      </c>
      <c r="AL9" s="18" t="s">
        <v>39</v>
      </c>
      <c r="AM9" s="49" t="s">
        <v>144</v>
      </c>
    </row>
    <row r="10" spans="1:39" ht="201.6" x14ac:dyDescent="0.3">
      <c r="A10" s="18">
        <v>9</v>
      </c>
      <c r="B10" s="18">
        <v>0</v>
      </c>
      <c r="C10" s="18" t="s">
        <v>28</v>
      </c>
      <c r="D10" s="18" t="s">
        <v>146</v>
      </c>
      <c r="E10" s="18">
        <v>3</v>
      </c>
      <c r="F10" s="47" t="s">
        <v>75</v>
      </c>
      <c r="G10" s="18">
        <v>5</v>
      </c>
      <c r="H10" s="18">
        <v>1</v>
      </c>
      <c r="I10" s="18" t="s">
        <v>163</v>
      </c>
      <c r="J10" s="18" t="s">
        <v>30</v>
      </c>
      <c r="K10" s="18" t="s">
        <v>164</v>
      </c>
      <c r="L10" s="47" t="s">
        <v>76</v>
      </c>
      <c r="M10" s="47" t="s">
        <v>77</v>
      </c>
      <c r="N10" s="18" t="s">
        <v>78</v>
      </c>
      <c r="O10" s="18" t="s">
        <v>79</v>
      </c>
      <c r="P10" s="48" t="s">
        <v>80</v>
      </c>
      <c r="Q10" s="18"/>
      <c r="R10" s="18" t="s">
        <v>36</v>
      </c>
      <c r="S10" s="18">
        <v>1</v>
      </c>
      <c r="T10" s="18">
        <v>1</v>
      </c>
      <c r="U10" s="18">
        <v>1</v>
      </c>
      <c r="V10" s="18">
        <v>5</v>
      </c>
      <c r="W10" s="39">
        <v>57903</v>
      </c>
      <c r="X10" s="39">
        <v>57903</v>
      </c>
      <c r="Y10" s="38"/>
      <c r="Z10" s="47" t="s">
        <v>81</v>
      </c>
      <c r="AA10" s="38"/>
      <c r="AB10" s="40">
        <v>2.7</v>
      </c>
      <c r="AC10" s="39">
        <v>156338.1</v>
      </c>
      <c r="AD10" s="39">
        <v>156338.1</v>
      </c>
      <c r="AE10" s="38">
        <v>0</v>
      </c>
      <c r="AF10" s="38">
        <v>0</v>
      </c>
      <c r="AG10" s="38"/>
      <c r="AH10" s="39">
        <v>156338.1</v>
      </c>
      <c r="AI10" s="39">
        <v>156338.1</v>
      </c>
      <c r="AJ10" s="38"/>
      <c r="AK10" s="18" t="s">
        <v>30</v>
      </c>
      <c r="AL10" s="18" t="s">
        <v>39</v>
      </c>
      <c r="AM10" s="49" t="s">
        <v>145</v>
      </c>
    </row>
    <row r="11" spans="1:39" ht="158.4" x14ac:dyDescent="0.3">
      <c r="A11" s="18">
        <v>10</v>
      </c>
      <c r="B11" s="18">
        <v>0</v>
      </c>
      <c r="C11" s="18" t="s">
        <v>28</v>
      </c>
      <c r="D11" s="18" t="s">
        <v>146</v>
      </c>
      <c r="E11" s="18">
        <v>3</v>
      </c>
      <c r="F11" s="47" t="s">
        <v>29</v>
      </c>
      <c r="G11" s="18">
        <v>2</v>
      </c>
      <c r="H11" s="18">
        <v>5</v>
      </c>
      <c r="I11" s="18" t="s">
        <v>165</v>
      </c>
      <c r="J11" s="18" t="s">
        <v>39</v>
      </c>
      <c r="K11" s="18" t="s">
        <v>166</v>
      </c>
      <c r="L11" s="47" t="s">
        <v>82</v>
      </c>
      <c r="M11" s="47" t="s">
        <v>83</v>
      </c>
      <c r="N11" s="18" t="s">
        <v>84</v>
      </c>
      <c r="O11" s="18" t="s">
        <v>49</v>
      </c>
      <c r="P11" s="48">
        <v>1830011</v>
      </c>
      <c r="Q11" s="18"/>
      <c r="R11" s="18" t="s">
        <v>36</v>
      </c>
      <c r="S11" s="18">
        <v>3</v>
      </c>
      <c r="T11" s="18">
        <v>1</v>
      </c>
      <c r="U11" s="18">
        <v>3</v>
      </c>
      <c r="V11" s="18">
        <v>100</v>
      </c>
      <c r="W11" s="39">
        <v>31450</v>
      </c>
      <c r="X11" s="39">
        <v>94350</v>
      </c>
      <c r="Y11" s="38"/>
      <c r="Z11" s="47" t="s">
        <v>85</v>
      </c>
      <c r="AA11" s="38"/>
      <c r="AB11" s="40">
        <v>3</v>
      </c>
      <c r="AC11" s="39">
        <v>94350</v>
      </c>
      <c r="AD11" s="39">
        <v>283050</v>
      </c>
      <c r="AE11" s="38">
        <v>0</v>
      </c>
      <c r="AF11" s="38">
        <v>0</v>
      </c>
      <c r="AG11" s="38"/>
      <c r="AH11" s="39">
        <v>94350</v>
      </c>
      <c r="AI11" s="39">
        <v>283050</v>
      </c>
      <c r="AJ11" s="38"/>
      <c r="AK11" s="18" t="s">
        <v>30</v>
      </c>
      <c r="AL11" s="18" t="s">
        <v>39</v>
      </c>
      <c r="AM11" s="49"/>
    </row>
    <row r="12" spans="1:39" ht="72" x14ac:dyDescent="0.3">
      <c r="A12" s="18">
        <v>11</v>
      </c>
      <c r="B12" s="18">
        <v>0</v>
      </c>
      <c r="C12" s="18" t="s">
        <v>28</v>
      </c>
      <c r="D12" s="18" t="s">
        <v>146</v>
      </c>
      <c r="E12" s="18">
        <v>3</v>
      </c>
      <c r="F12" s="47" t="s">
        <v>70</v>
      </c>
      <c r="G12" s="18">
        <v>3</v>
      </c>
      <c r="H12" s="18">
        <v>6</v>
      </c>
      <c r="I12" s="18" t="s">
        <v>167</v>
      </c>
      <c r="J12" s="18" t="s">
        <v>30</v>
      </c>
      <c r="K12" s="18" t="s">
        <v>168</v>
      </c>
      <c r="L12" s="47" t="s">
        <v>86</v>
      </c>
      <c r="M12" s="47" t="s">
        <v>87</v>
      </c>
      <c r="N12" s="18" t="s">
        <v>88</v>
      </c>
      <c r="O12" s="18" t="s">
        <v>56</v>
      </c>
      <c r="P12" s="48">
        <v>1821981</v>
      </c>
      <c r="Q12" s="18"/>
      <c r="R12" s="18" t="s">
        <v>36</v>
      </c>
      <c r="S12" s="18">
        <v>20</v>
      </c>
      <c r="T12" s="18">
        <v>1</v>
      </c>
      <c r="U12" s="18">
        <v>20</v>
      </c>
      <c r="V12" s="18">
        <v>100</v>
      </c>
      <c r="W12" s="39">
        <v>809</v>
      </c>
      <c r="X12" s="39">
        <v>16180</v>
      </c>
      <c r="Y12" s="38"/>
      <c r="Z12" s="47" t="s">
        <v>89</v>
      </c>
      <c r="AA12" s="38"/>
      <c r="AB12" s="40">
        <v>1.35</v>
      </c>
      <c r="AC12" s="39">
        <v>1092.1500000000001</v>
      </c>
      <c r="AD12" s="39">
        <v>21843</v>
      </c>
      <c r="AE12" s="38">
        <v>0</v>
      </c>
      <c r="AF12" s="38">
        <v>0</v>
      </c>
      <c r="AG12" s="38"/>
      <c r="AH12" s="39">
        <v>1092.1500000000001</v>
      </c>
      <c r="AI12" s="39">
        <v>21843</v>
      </c>
      <c r="AJ12" s="38"/>
      <c r="AK12" s="18" t="s">
        <v>30</v>
      </c>
      <c r="AL12" s="18" t="s">
        <v>30</v>
      </c>
      <c r="AM12" s="49" t="s">
        <v>142</v>
      </c>
    </row>
    <row r="13" spans="1:39" ht="244.8" x14ac:dyDescent="0.3">
      <c r="A13" s="18">
        <v>12</v>
      </c>
      <c r="B13" s="18">
        <v>0</v>
      </c>
      <c r="C13" s="18" t="s">
        <v>90</v>
      </c>
      <c r="D13" s="18" t="s">
        <v>169</v>
      </c>
      <c r="E13" s="18">
        <v>1</v>
      </c>
      <c r="F13" s="47" t="s">
        <v>29</v>
      </c>
      <c r="G13" s="18">
        <v>2</v>
      </c>
      <c r="H13" s="18">
        <v>1</v>
      </c>
      <c r="I13" s="18" t="s">
        <v>170</v>
      </c>
      <c r="J13" s="18" t="s">
        <v>30</v>
      </c>
      <c r="K13" s="18" t="s">
        <v>171</v>
      </c>
      <c r="L13" s="47" t="s">
        <v>31</v>
      </c>
      <c r="M13" s="47" t="s">
        <v>91</v>
      </c>
      <c r="N13" s="18" t="s">
        <v>33</v>
      </c>
      <c r="O13" s="18" t="s">
        <v>34</v>
      </c>
      <c r="P13" s="48" t="s">
        <v>35</v>
      </c>
      <c r="Q13" s="18"/>
      <c r="R13" s="18" t="s">
        <v>36</v>
      </c>
      <c r="S13" s="18">
        <v>3</v>
      </c>
      <c r="T13" s="18">
        <v>1</v>
      </c>
      <c r="U13" s="18">
        <v>3</v>
      </c>
      <c r="V13" s="18">
        <v>12</v>
      </c>
      <c r="W13" s="39">
        <v>20000</v>
      </c>
      <c r="X13" s="39">
        <v>60000</v>
      </c>
      <c r="Y13" s="38"/>
      <c r="Z13" s="47" t="s">
        <v>92</v>
      </c>
      <c r="AA13" s="38"/>
      <c r="AB13" s="40">
        <v>4</v>
      </c>
      <c r="AC13" s="39">
        <v>80000</v>
      </c>
      <c r="AD13" s="39">
        <v>240000</v>
      </c>
      <c r="AE13" s="38">
        <v>0</v>
      </c>
      <c r="AF13" s="38">
        <v>0</v>
      </c>
      <c r="AG13" s="38"/>
      <c r="AH13" s="39">
        <v>80000</v>
      </c>
      <c r="AI13" s="39">
        <v>240000</v>
      </c>
      <c r="AJ13" s="38"/>
      <c r="AK13" s="18" t="s">
        <v>30</v>
      </c>
      <c r="AL13" s="18" t="s">
        <v>39</v>
      </c>
      <c r="AM13" s="49"/>
    </row>
    <row r="14" spans="1:39" ht="302.39999999999998" x14ac:dyDescent="0.3">
      <c r="A14" s="18">
        <v>13</v>
      </c>
      <c r="B14" s="18">
        <v>0</v>
      </c>
      <c r="C14" s="18" t="s">
        <v>90</v>
      </c>
      <c r="D14" s="18" t="s">
        <v>169</v>
      </c>
      <c r="E14" s="18">
        <v>1</v>
      </c>
      <c r="F14" s="47" t="s">
        <v>29</v>
      </c>
      <c r="G14" s="18">
        <v>2</v>
      </c>
      <c r="H14" s="18">
        <v>2</v>
      </c>
      <c r="I14" s="18" t="s">
        <v>172</v>
      </c>
      <c r="J14" s="18" t="s">
        <v>30</v>
      </c>
      <c r="K14" s="18" t="s">
        <v>173</v>
      </c>
      <c r="L14" s="47" t="s">
        <v>93</v>
      </c>
      <c r="M14" s="47" t="s">
        <v>94</v>
      </c>
      <c r="N14" s="18" t="s">
        <v>396</v>
      </c>
      <c r="O14" s="18" t="s">
        <v>49</v>
      </c>
      <c r="P14" s="48" t="s">
        <v>95</v>
      </c>
      <c r="Q14" s="18"/>
      <c r="R14" s="18" t="s">
        <v>36</v>
      </c>
      <c r="S14" s="18">
        <v>1</v>
      </c>
      <c r="T14" s="18">
        <v>1</v>
      </c>
      <c r="U14" s="18">
        <v>1</v>
      </c>
      <c r="V14" s="18">
        <v>10</v>
      </c>
      <c r="W14" s="39">
        <v>351700</v>
      </c>
      <c r="X14" s="39">
        <v>351700</v>
      </c>
      <c r="Y14" s="38"/>
      <c r="Z14" s="47" t="s">
        <v>96</v>
      </c>
      <c r="AA14" s="38"/>
      <c r="AB14" s="40">
        <v>5</v>
      </c>
      <c r="AC14" s="39">
        <v>1758500</v>
      </c>
      <c r="AD14" s="39">
        <v>1758500</v>
      </c>
      <c r="AE14" s="38">
        <v>0</v>
      </c>
      <c r="AF14" s="38">
        <v>0</v>
      </c>
      <c r="AG14" s="38"/>
      <c r="AH14" s="39">
        <v>1758500</v>
      </c>
      <c r="AI14" s="39">
        <v>1758500</v>
      </c>
      <c r="AJ14" s="38"/>
      <c r="AK14" s="18" t="s">
        <v>30</v>
      </c>
      <c r="AL14" s="18" t="s">
        <v>39</v>
      </c>
      <c r="AM14" s="49"/>
    </row>
    <row r="15" spans="1:39" ht="158.4" x14ac:dyDescent="0.3">
      <c r="A15" s="18">
        <v>14</v>
      </c>
      <c r="B15" s="18">
        <v>0</v>
      </c>
      <c r="C15" s="18" t="s">
        <v>90</v>
      </c>
      <c r="D15" s="18" t="s">
        <v>169</v>
      </c>
      <c r="E15" s="18">
        <v>1</v>
      </c>
      <c r="F15" s="47" t="s">
        <v>29</v>
      </c>
      <c r="G15" s="18">
        <v>2</v>
      </c>
      <c r="H15" s="18">
        <v>3</v>
      </c>
      <c r="I15" s="18" t="s">
        <v>174</v>
      </c>
      <c r="J15" s="18" t="s">
        <v>30</v>
      </c>
      <c r="K15" s="18" t="s">
        <v>175</v>
      </c>
      <c r="L15" s="47" t="s">
        <v>97</v>
      </c>
      <c r="M15" s="47" t="s">
        <v>98</v>
      </c>
      <c r="N15" s="18" t="s">
        <v>397</v>
      </c>
      <c r="O15" s="18" t="s">
        <v>49</v>
      </c>
      <c r="P15" s="48" t="s">
        <v>99</v>
      </c>
      <c r="Q15" s="18"/>
      <c r="R15" s="18" t="s">
        <v>36</v>
      </c>
      <c r="S15" s="18">
        <v>3</v>
      </c>
      <c r="T15" s="18">
        <v>1</v>
      </c>
      <c r="U15" s="18">
        <v>3</v>
      </c>
      <c r="V15" s="18">
        <v>4</v>
      </c>
      <c r="W15" s="39">
        <v>58300</v>
      </c>
      <c r="X15" s="39">
        <v>174900</v>
      </c>
      <c r="Y15" s="38"/>
      <c r="Z15" s="47" t="s">
        <v>100</v>
      </c>
      <c r="AA15" s="38"/>
      <c r="AB15" s="40">
        <v>3</v>
      </c>
      <c r="AC15" s="39">
        <v>174900</v>
      </c>
      <c r="AD15" s="39">
        <v>524700</v>
      </c>
      <c r="AE15" s="38">
        <v>0</v>
      </c>
      <c r="AF15" s="38">
        <v>0</v>
      </c>
      <c r="AG15" s="38"/>
      <c r="AH15" s="39">
        <v>174900</v>
      </c>
      <c r="AI15" s="39">
        <v>524700</v>
      </c>
      <c r="AJ15" s="38"/>
      <c r="AK15" s="18" t="s">
        <v>30</v>
      </c>
      <c r="AL15" s="18" t="s">
        <v>39</v>
      </c>
      <c r="AM15" s="49"/>
    </row>
    <row r="16" spans="1:39" ht="86.4" x14ac:dyDescent="0.3">
      <c r="A16" s="18">
        <v>15</v>
      </c>
      <c r="B16" s="18">
        <v>0</v>
      </c>
      <c r="C16" s="18" t="s">
        <v>90</v>
      </c>
      <c r="D16" s="18" t="s">
        <v>169</v>
      </c>
      <c r="E16" s="18">
        <v>1</v>
      </c>
      <c r="F16" s="47" t="s">
        <v>38</v>
      </c>
      <c r="G16" s="18">
        <v>4</v>
      </c>
      <c r="H16" s="18">
        <v>1</v>
      </c>
      <c r="I16" s="18" t="s">
        <v>176</v>
      </c>
      <c r="J16" s="18" t="s">
        <v>30</v>
      </c>
      <c r="K16" s="18" t="s">
        <v>177</v>
      </c>
      <c r="L16" s="47" t="s">
        <v>101</v>
      </c>
      <c r="M16" s="47" t="s">
        <v>102</v>
      </c>
      <c r="N16" s="18" t="s">
        <v>48</v>
      </c>
      <c r="O16" s="18" t="s">
        <v>49</v>
      </c>
      <c r="P16" s="48" t="s">
        <v>103</v>
      </c>
      <c r="Q16" s="18"/>
      <c r="R16" s="18" t="s">
        <v>36</v>
      </c>
      <c r="S16" s="18">
        <v>6</v>
      </c>
      <c r="T16" s="18">
        <v>1</v>
      </c>
      <c r="U16" s="18">
        <v>6</v>
      </c>
      <c r="V16" s="18">
        <v>0</v>
      </c>
      <c r="W16" s="39">
        <v>15900</v>
      </c>
      <c r="X16" s="39">
        <v>95400</v>
      </c>
      <c r="Y16" s="38"/>
      <c r="Z16" s="47" t="s">
        <v>104</v>
      </c>
      <c r="AA16" s="38"/>
      <c r="AB16" s="40">
        <v>3</v>
      </c>
      <c r="AC16" s="39">
        <v>47700</v>
      </c>
      <c r="AD16" s="39">
        <v>286200</v>
      </c>
      <c r="AE16" s="38">
        <v>0</v>
      </c>
      <c r="AF16" s="38">
        <v>0</v>
      </c>
      <c r="AG16" s="38"/>
      <c r="AH16" s="39">
        <v>47700</v>
      </c>
      <c r="AI16" s="39">
        <v>286200</v>
      </c>
      <c r="AJ16" s="38"/>
      <c r="AK16" s="18" t="s">
        <v>30</v>
      </c>
      <c r="AL16" s="18" t="s">
        <v>39</v>
      </c>
      <c r="AM16" s="49"/>
    </row>
    <row r="17" spans="1:39" ht="187.2" x14ac:dyDescent="0.3">
      <c r="A17" s="18">
        <v>16</v>
      </c>
      <c r="B17" s="18">
        <v>0</v>
      </c>
      <c r="C17" s="18" t="s">
        <v>90</v>
      </c>
      <c r="D17" s="18" t="s">
        <v>169</v>
      </c>
      <c r="E17" s="18">
        <v>1</v>
      </c>
      <c r="F17" s="47" t="s">
        <v>38</v>
      </c>
      <c r="G17" s="18">
        <v>4</v>
      </c>
      <c r="H17" s="18">
        <v>2</v>
      </c>
      <c r="I17" s="18" t="s">
        <v>178</v>
      </c>
      <c r="J17" s="18" t="s">
        <v>30</v>
      </c>
      <c r="K17" s="18" t="s">
        <v>179</v>
      </c>
      <c r="L17" s="47" t="s">
        <v>105</v>
      </c>
      <c r="M17" s="47" t="s">
        <v>106</v>
      </c>
      <c r="N17" s="18" t="s">
        <v>48</v>
      </c>
      <c r="O17" s="18" t="s">
        <v>49</v>
      </c>
      <c r="P17" s="48" t="s">
        <v>107</v>
      </c>
      <c r="Q17" s="18"/>
      <c r="R17" s="18" t="s">
        <v>36</v>
      </c>
      <c r="S17" s="18">
        <v>4</v>
      </c>
      <c r="T17" s="18">
        <v>1</v>
      </c>
      <c r="U17" s="18">
        <v>4</v>
      </c>
      <c r="V17" s="18">
        <v>1000</v>
      </c>
      <c r="W17" s="39">
        <v>1400</v>
      </c>
      <c r="X17" s="39">
        <v>5600</v>
      </c>
      <c r="Y17" s="38"/>
      <c r="Z17" s="47" t="s">
        <v>108</v>
      </c>
      <c r="AA17" s="38"/>
      <c r="AB17" s="40">
        <v>2.7</v>
      </c>
      <c r="AC17" s="39">
        <v>3780.0000000000005</v>
      </c>
      <c r="AD17" s="39">
        <v>15120.000000000002</v>
      </c>
      <c r="AE17" s="38">
        <v>0</v>
      </c>
      <c r="AF17" s="38">
        <v>0</v>
      </c>
      <c r="AG17" s="38"/>
      <c r="AH17" s="39">
        <v>3780.0000000000005</v>
      </c>
      <c r="AI17" s="39">
        <v>15120.000000000002</v>
      </c>
      <c r="AJ17" s="38"/>
      <c r="AK17" s="18" t="s">
        <v>30</v>
      </c>
      <c r="AL17" s="18" t="s">
        <v>39</v>
      </c>
      <c r="AM17" s="49"/>
    </row>
    <row r="18" spans="1:39" ht="86.4" x14ac:dyDescent="0.3">
      <c r="A18" s="18">
        <v>17</v>
      </c>
      <c r="B18" s="18">
        <v>0</v>
      </c>
      <c r="C18" s="18" t="s">
        <v>90</v>
      </c>
      <c r="D18" s="18" t="s">
        <v>169</v>
      </c>
      <c r="E18" s="18">
        <v>1</v>
      </c>
      <c r="F18" s="47" t="s">
        <v>38</v>
      </c>
      <c r="G18" s="18">
        <v>4</v>
      </c>
      <c r="H18" s="18">
        <v>3</v>
      </c>
      <c r="I18" s="18" t="s">
        <v>180</v>
      </c>
      <c r="J18" s="18" t="s">
        <v>30</v>
      </c>
      <c r="K18" s="18" t="s">
        <v>181</v>
      </c>
      <c r="L18" s="47" t="s">
        <v>46</v>
      </c>
      <c r="M18" s="47" t="s">
        <v>109</v>
      </c>
      <c r="N18" s="18" t="s">
        <v>48</v>
      </c>
      <c r="O18" s="18" t="s">
        <v>49</v>
      </c>
      <c r="P18" s="48" t="s">
        <v>50</v>
      </c>
      <c r="Q18" s="18"/>
      <c r="R18" s="18" t="s">
        <v>36</v>
      </c>
      <c r="S18" s="18">
        <v>6</v>
      </c>
      <c r="T18" s="18">
        <v>1</v>
      </c>
      <c r="U18" s="18">
        <v>6</v>
      </c>
      <c r="V18" s="18">
        <v>1000</v>
      </c>
      <c r="W18" s="39">
        <v>2900</v>
      </c>
      <c r="X18" s="39">
        <v>17400</v>
      </c>
      <c r="Y18" s="38"/>
      <c r="Z18" s="47" t="s">
        <v>110</v>
      </c>
      <c r="AA18" s="38"/>
      <c r="AB18" s="40">
        <v>2.7</v>
      </c>
      <c r="AC18" s="39">
        <v>7830.0000000000009</v>
      </c>
      <c r="AD18" s="39">
        <v>46980.000000000007</v>
      </c>
      <c r="AE18" s="38">
        <v>0</v>
      </c>
      <c r="AF18" s="38">
        <v>0</v>
      </c>
      <c r="AG18" s="38"/>
      <c r="AH18" s="39">
        <v>7830.0000000000009</v>
      </c>
      <c r="AI18" s="39">
        <v>46980.000000000007</v>
      </c>
      <c r="AJ18" s="38"/>
      <c r="AK18" s="18" t="s">
        <v>30</v>
      </c>
      <c r="AL18" s="18" t="s">
        <v>39</v>
      </c>
      <c r="AM18" s="49"/>
    </row>
    <row r="19" spans="1:39" ht="201.6" x14ac:dyDescent="0.3">
      <c r="A19" s="18">
        <v>18</v>
      </c>
      <c r="B19" s="18">
        <v>0</v>
      </c>
      <c r="C19" s="18" t="s">
        <v>90</v>
      </c>
      <c r="D19" s="18" t="s">
        <v>169</v>
      </c>
      <c r="E19" s="18">
        <v>1</v>
      </c>
      <c r="F19" s="47" t="s">
        <v>38</v>
      </c>
      <c r="G19" s="18">
        <v>4</v>
      </c>
      <c r="H19" s="18">
        <v>4</v>
      </c>
      <c r="I19" s="18" t="s">
        <v>182</v>
      </c>
      <c r="J19" s="18" t="s">
        <v>30</v>
      </c>
      <c r="K19" s="18" t="s">
        <v>183</v>
      </c>
      <c r="L19" s="47" t="s">
        <v>111</v>
      </c>
      <c r="M19" s="47" t="s">
        <v>112</v>
      </c>
      <c r="N19" s="18" t="s">
        <v>48</v>
      </c>
      <c r="O19" s="18" t="s">
        <v>49</v>
      </c>
      <c r="P19" s="48" t="s">
        <v>113</v>
      </c>
      <c r="Q19" s="18"/>
      <c r="R19" s="18" t="s">
        <v>36</v>
      </c>
      <c r="S19" s="18">
        <v>24</v>
      </c>
      <c r="T19" s="18">
        <v>1</v>
      </c>
      <c r="U19" s="18">
        <v>24</v>
      </c>
      <c r="V19" s="18">
        <v>1000</v>
      </c>
      <c r="W19" s="39">
        <v>2000</v>
      </c>
      <c r="X19" s="39">
        <v>48000</v>
      </c>
      <c r="Y19" s="38"/>
      <c r="Z19" s="47" t="s">
        <v>114</v>
      </c>
      <c r="AA19" s="38"/>
      <c r="AB19" s="40">
        <v>3.2</v>
      </c>
      <c r="AC19" s="39">
        <v>6400</v>
      </c>
      <c r="AD19" s="39">
        <v>153600</v>
      </c>
      <c r="AE19" s="38">
        <v>0</v>
      </c>
      <c r="AF19" s="38">
        <v>0</v>
      </c>
      <c r="AG19" s="38"/>
      <c r="AH19" s="39">
        <v>6400</v>
      </c>
      <c r="AI19" s="39">
        <v>153600</v>
      </c>
      <c r="AJ19" s="38"/>
      <c r="AK19" s="18" t="s">
        <v>30</v>
      </c>
      <c r="AL19" s="18" t="s">
        <v>39</v>
      </c>
      <c r="AM19" s="49"/>
    </row>
    <row r="20" spans="1:39" ht="57.6" x14ac:dyDescent="0.3">
      <c r="A20" s="18">
        <v>19</v>
      </c>
      <c r="B20" s="18">
        <v>0</v>
      </c>
      <c r="C20" s="18" t="s">
        <v>115</v>
      </c>
      <c r="D20" s="18" t="s">
        <v>184</v>
      </c>
      <c r="E20" s="18">
        <v>1</v>
      </c>
      <c r="F20" s="47" t="s">
        <v>116</v>
      </c>
      <c r="G20" s="18">
        <v>1</v>
      </c>
      <c r="H20" s="18">
        <v>1</v>
      </c>
      <c r="I20" s="18" t="s">
        <v>185</v>
      </c>
      <c r="J20" s="18" t="s">
        <v>30</v>
      </c>
      <c r="K20" s="18" t="s">
        <v>186</v>
      </c>
      <c r="L20" s="47" t="s">
        <v>117</v>
      </c>
      <c r="M20" s="47" t="s">
        <v>118</v>
      </c>
      <c r="N20" s="18" t="s">
        <v>119</v>
      </c>
      <c r="O20" s="18" t="s">
        <v>120</v>
      </c>
      <c r="P20" s="48" t="s">
        <v>88</v>
      </c>
      <c r="Q20" s="18"/>
      <c r="R20" s="18" t="s">
        <v>36</v>
      </c>
      <c r="S20" s="18">
        <v>2</v>
      </c>
      <c r="T20" s="18">
        <v>1</v>
      </c>
      <c r="U20" s="18">
        <v>2</v>
      </c>
      <c r="V20" s="18">
        <v>2</v>
      </c>
      <c r="W20" s="39">
        <v>865810.8</v>
      </c>
      <c r="X20" s="39">
        <v>1731621.6</v>
      </c>
      <c r="Y20" s="38"/>
      <c r="Z20" s="47" t="s">
        <v>121</v>
      </c>
      <c r="AA20" s="38"/>
      <c r="AB20" s="40">
        <v>1.9634774710595</v>
      </c>
      <c r="AC20" s="39">
        <v>1700000.0000000026</v>
      </c>
      <c r="AD20" s="39">
        <v>3400000.0000000051</v>
      </c>
      <c r="AE20" s="38">
        <v>0</v>
      </c>
      <c r="AF20" s="38">
        <v>0</v>
      </c>
      <c r="AG20" s="38"/>
      <c r="AH20" s="39">
        <v>1700000.0000000026</v>
      </c>
      <c r="AI20" s="39">
        <v>3400000.0000000051</v>
      </c>
      <c r="AJ20" s="38"/>
      <c r="AK20" s="18" t="s">
        <v>30</v>
      </c>
      <c r="AL20" s="18" t="s">
        <v>39</v>
      </c>
      <c r="AM20" s="49"/>
    </row>
    <row r="21" spans="1:39" ht="72" x14ac:dyDescent="0.3">
      <c r="A21" s="18">
        <v>20</v>
      </c>
      <c r="B21" s="18">
        <v>0</v>
      </c>
      <c r="C21" s="18" t="s">
        <v>115</v>
      </c>
      <c r="D21" s="18" t="s">
        <v>184</v>
      </c>
      <c r="E21" s="18">
        <v>1</v>
      </c>
      <c r="F21" s="47" t="s">
        <v>116</v>
      </c>
      <c r="G21" s="18">
        <v>1</v>
      </c>
      <c r="H21" s="18">
        <v>2</v>
      </c>
      <c r="I21" s="18" t="s">
        <v>187</v>
      </c>
      <c r="J21" s="18" t="s">
        <v>30</v>
      </c>
      <c r="K21" s="18" t="s">
        <v>188</v>
      </c>
      <c r="L21" s="47" t="s">
        <v>122</v>
      </c>
      <c r="M21" s="47" t="s">
        <v>123</v>
      </c>
      <c r="N21" s="18" t="s">
        <v>119</v>
      </c>
      <c r="O21" s="18" t="s">
        <v>120</v>
      </c>
      <c r="P21" s="48" t="s">
        <v>88</v>
      </c>
      <c r="Q21" s="18"/>
      <c r="R21" s="18" t="s">
        <v>36</v>
      </c>
      <c r="S21" s="18">
        <v>1</v>
      </c>
      <c r="T21" s="18">
        <v>1</v>
      </c>
      <c r="U21" s="18">
        <v>1</v>
      </c>
      <c r="V21" s="18">
        <v>1</v>
      </c>
      <c r="W21" s="39">
        <v>2088806.3999999999</v>
      </c>
      <c r="X21" s="39">
        <v>2088806.3999999999</v>
      </c>
      <c r="Y21" s="38"/>
      <c r="Z21" s="47" t="s">
        <v>124</v>
      </c>
      <c r="AA21" s="38"/>
      <c r="AB21" s="40">
        <v>1.9331614456945401</v>
      </c>
      <c r="AC21" s="39">
        <v>4038000.0000000075</v>
      </c>
      <c r="AD21" s="39">
        <v>4038000.0000000075</v>
      </c>
      <c r="AE21" s="38">
        <v>0</v>
      </c>
      <c r="AF21" s="38">
        <v>0</v>
      </c>
      <c r="AG21" s="38"/>
      <c r="AH21" s="39">
        <v>4038000.0000000075</v>
      </c>
      <c r="AI21" s="39">
        <v>4038000.0000000075</v>
      </c>
      <c r="AJ21" s="38"/>
      <c r="AK21" s="18" t="s">
        <v>30</v>
      </c>
      <c r="AL21" s="18" t="s">
        <v>39</v>
      </c>
      <c r="AM21" s="49"/>
    </row>
    <row r="22" spans="1:39" ht="72" x14ac:dyDescent="0.3">
      <c r="A22" s="18">
        <v>21</v>
      </c>
      <c r="B22" s="18">
        <v>0</v>
      </c>
      <c r="C22" s="18" t="s">
        <v>125</v>
      </c>
      <c r="D22" s="18" t="s">
        <v>191</v>
      </c>
      <c r="E22" s="18">
        <v>1</v>
      </c>
      <c r="F22" s="47" t="s">
        <v>70</v>
      </c>
      <c r="G22" s="18">
        <v>6</v>
      </c>
      <c r="H22" s="18">
        <v>1</v>
      </c>
      <c r="I22" s="18" t="s">
        <v>189</v>
      </c>
      <c r="J22" s="18" t="s">
        <v>30</v>
      </c>
      <c r="K22" s="18" t="s">
        <v>190</v>
      </c>
      <c r="L22" s="47" t="s">
        <v>86</v>
      </c>
      <c r="M22" s="47" t="s">
        <v>87</v>
      </c>
      <c r="N22" s="18" t="s">
        <v>88</v>
      </c>
      <c r="O22" s="18" t="s">
        <v>56</v>
      </c>
      <c r="P22" s="48">
        <v>1821981</v>
      </c>
      <c r="Q22" s="18"/>
      <c r="R22" s="18" t="s">
        <v>36</v>
      </c>
      <c r="S22" s="18">
        <v>12</v>
      </c>
      <c r="T22" s="18">
        <v>1</v>
      </c>
      <c r="U22" s="18">
        <v>12</v>
      </c>
      <c r="V22" s="18">
        <v>100</v>
      </c>
      <c r="W22" s="39">
        <v>809</v>
      </c>
      <c r="X22" s="39">
        <v>9708</v>
      </c>
      <c r="Y22" s="38"/>
      <c r="Z22" s="47" t="s">
        <v>126</v>
      </c>
      <c r="AA22" s="38"/>
      <c r="AB22" s="40">
        <v>1.35</v>
      </c>
      <c r="AC22" s="39">
        <v>1092.1500000000001</v>
      </c>
      <c r="AD22" s="39">
        <v>13105.800000000001</v>
      </c>
      <c r="AE22" s="38">
        <v>0</v>
      </c>
      <c r="AF22" s="38">
        <v>0</v>
      </c>
      <c r="AG22" s="38"/>
      <c r="AH22" s="39">
        <v>1092.1500000000001</v>
      </c>
      <c r="AI22" s="39">
        <v>13105.800000000001</v>
      </c>
      <c r="AJ22" s="38"/>
      <c r="AK22" s="18" t="s">
        <v>30</v>
      </c>
      <c r="AL22" s="18" t="s">
        <v>39</v>
      </c>
      <c r="AM22" s="49" t="s">
        <v>142</v>
      </c>
    </row>
    <row r="23" spans="1:39" ht="158.4" x14ac:dyDescent="0.3">
      <c r="A23" s="18">
        <v>23</v>
      </c>
      <c r="B23" s="18"/>
      <c r="C23" s="18" t="s">
        <v>125</v>
      </c>
      <c r="D23" s="18" t="s">
        <v>191</v>
      </c>
      <c r="E23" s="18">
        <v>1</v>
      </c>
      <c r="F23" s="47" t="s">
        <v>70</v>
      </c>
      <c r="G23" s="18">
        <v>6</v>
      </c>
      <c r="H23" s="18">
        <v>3</v>
      </c>
      <c r="I23" s="18" t="s">
        <v>606</v>
      </c>
      <c r="J23" s="18" t="s">
        <v>30</v>
      </c>
      <c r="K23" s="18" t="s">
        <v>609</v>
      </c>
      <c r="L23" s="47" t="s">
        <v>82</v>
      </c>
      <c r="M23" s="47" t="s">
        <v>83</v>
      </c>
      <c r="N23" s="18" t="s">
        <v>84</v>
      </c>
      <c r="O23" s="18" t="s">
        <v>56</v>
      </c>
      <c r="P23" s="48">
        <v>1830011</v>
      </c>
      <c r="Q23" s="18"/>
      <c r="R23" s="18" t="s">
        <v>36</v>
      </c>
      <c r="S23" s="18">
        <v>2</v>
      </c>
      <c r="T23" s="18">
        <v>1</v>
      </c>
      <c r="U23" s="18">
        <v>2</v>
      </c>
      <c r="V23" s="18">
        <v>10</v>
      </c>
      <c r="W23" s="39">
        <v>54260</v>
      </c>
      <c r="X23" s="39">
        <v>108520</v>
      </c>
      <c r="Y23" s="38"/>
      <c r="Z23" s="47" t="s">
        <v>610</v>
      </c>
      <c r="AA23" s="38"/>
      <c r="AB23" s="40">
        <v>2</v>
      </c>
      <c r="AC23" s="39">
        <v>108520</v>
      </c>
      <c r="AD23" s="39">
        <v>217040</v>
      </c>
      <c r="AE23" s="38">
        <v>0</v>
      </c>
      <c r="AF23" s="38">
        <v>0</v>
      </c>
      <c r="AG23" s="38"/>
      <c r="AH23" s="39">
        <v>108520</v>
      </c>
      <c r="AI23" s="39">
        <v>217040</v>
      </c>
      <c r="AJ23" s="38"/>
      <c r="AK23" s="18" t="s">
        <v>39</v>
      </c>
      <c r="AL23" s="18" t="s">
        <v>39</v>
      </c>
      <c r="AM23" s="49" t="s">
        <v>144</v>
      </c>
    </row>
    <row r="24" spans="1:39" x14ac:dyDescent="0.3">
      <c r="A24" s="54"/>
      <c r="B24" s="54"/>
      <c r="C24" s="54"/>
      <c r="D24" s="54"/>
      <c r="E24" s="54"/>
      <c r="F24" s="55"/>
      <c r="G24" s="54"/>
      <c r="H24" s="54"/>
      <c r="I24" s="54"/>
      <c r="J24" s="54"/>
      <c r="K24" s="54"/>
      <c r="L24" s="55"/>
      <c r="M24" s="55"/>
      <c r="N24" s="54"/>
      <c r="O24" s="54"/>
      <c r="P24" s="56"/>
      <c r="Q24" s="54"/>
      <c r="R24" s="54"/>
      <c r="S24" s="54"/>
      <c r="T24" s="54"/>
      <c r="U24" s="54"/>
      <c r="V24" s="54"/>
      <c r="W24" s="53"/>
      <c r="X24" s="53"/>
      <c r="Y24" s="53"/>
      <c r="Z24" s="55"/>
      <c r="AA24" s="53"/>
      <c r="AB24" s="52"/>
      <c r="AC24" s="53"/>
      <c r="AD24" s="53"/>
      <c r="AE24" s="53"/>
      <c r="AF24" s="53"/>
      <c r="AG24" s="53"/>
      <c r="AH24" s="53"/>
      <c r="AI24" s="57">
        <f>SUBTOTAL(109,TabSpecificationWork[COST $TOTAL])</f>
        <v>11291964.000000013</v>
      </c>
      <c r="AJ24" s="53"/>
      <c r="AK24" s="54"/>
      <c r="AL24" s="54"/>
      <c r="AM24" s="58">
        <f>SUBTOTAL(103,TabSpecificationWork[COMMENT CUSTOMER])</f>
        <v>11</v>
      </c>
    </row>
    <row r="29" spans="1:39" x14ac:dyDescent="0.3">
      <c r="AJ29" s="67"/>
    </row>
    <row r="30" spans="1:39" x14ac:dyDescent="0.3">
      <c r="AJ30" s="67"/>
    </row>
    <row r="31" spans="1:39" x14ac:dyDescent="0.3">
      <c r="AJ31" s="67"/>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115" zoomScaleNormal="115" workbookViewId="0">
      <selection activeCell="B2" sqref="B2"/>
    </sheetView>
  </sheetViews>
  <sheetFormatPr defaultRowHeight="14.4" x14ac:dyDescent="0.3"/>
  <cols>
    <col min="1" max="1" width="39.6640625" style="36" customWidth="1"/>
    <col min="2" max="2" width="28.6640625" customWidth="1"/>
    <col min="3" max="3" width="18.109375" customWidth="1"/>
    <col min="4" max="4" width="15.33203125" style="33"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42" t="s">
        <v>2</v>
      </c>
      <c r="B2" t="s" vm="3">
        <v>90</v>
      </c>
    </row>
    <row r="3" spans="1:29" s="1" customFormat="1" ht="27" customHeight="1" x14ac:dyDescent="0.3">
      <c r="A3" s="41" t="s">
        <v>9</v>
      </c>
      <c r="B3" t="s" vm="2">
        <v>192</v>
      </c>
      <c r="C3"/>
      <c r="D3"/>
      <c r="E3"/>
      <c r="F3"/>
      <c r="G3"/>
      <c r="H3"/>
      <c r="I3"/>
      <c r="J3"/>
      <c r="K3"/>
      <c r="L3" s="17"/>
      <c r="M3" s="17"/>
      <c r="N3" s="17"/>
      <c r="O3" s="17"/>
      <c r="P3" s="17"/>
      <c r="Q3" s="17"/>
      <c r="R3" s="17"/>
      <c r="S3" s="17"/>
      <c r="T3" s="17"/>
      <c r="U3" s="17"/>
      <c r="V3" s="17"/>
      <c r="W3" s="17"/>
      <c r="X3" s="17"/>
      <c r="Y3" s="17"/>
      <c r="Z3" s="17"/>
      <c r="AA3" s="17"/>
      <c r="AB3" s="17"/>
      <c r="AC3" s="17"/>
    </row>
    <row r="4" spans="1:29" x14ac:dyDescent="0.3">
      <c r="A4" s="41" t="s">
        <v>8</v>
      </c>
      <c r="B4" t="s" vm="1">
        <v>193</v>
      </c>
      <c r="D4"/>
    </row>
    <row r="5" spans="1:29" x14ac:dyDescent="0.3">
      <c r="A5"/>
      <c r="D5"/>
    </row>
    <row r="6" spans="1:29" ht="43.2" x14ac:dyDescent="0.3">
      <c r="A6" s="32" t="s">
        <v>194</v>
      </c>
      <c r="B6" s="11" t="s">
        <v>195</v>
      </c>
      <c r="C6" s="44" t="s">
        <v>196</v>
      </c>
      <c r="D6" s="45" t="s">
        <v>135</v>
      </c>
    </row>
    <row r="7" spans="1:29" ht="15" customHeight="1" x14ac:dyDescent="0.3">
      <c r="A7" s="36" t="s">
        <v>197</v>
      </c>
      <c r="B7" s="66"/>
      <c r="C7" s="44"/>
      <c r="D7" s="51"/>
    </row>
    <row r="8" spans="1:29" ht="15" customHeight="1" x14ac:dyDescent="0.3">
      <c r="A8" s="20" t="s">
        <v>93</v>
      </c>
      <c r="B8" s="66">
        <v>1</v>
      </c>
      <c r="C8" s="44">
        <v>351700</v>
      </c>
      <c r="D8" s="51">
        <v>1758500</v>
      </c>
    </row>
    <row r="9" spans="1:29" x14ac:dyDescent="0.3">
      <c r="A9" s="20" t="s">
        <v>31</v>
      </c>
      <c r="B9" s="66">
        <v>3</v>
      </c>
      <c r="C9" s="44">
        <v>60000</v>
      </c>
      <c r="D9" s="51">
        <v>240000</v>
      </c>
    </row>
    <row r="10" spans="1:29" x14ac:dyDescent="0.3">
      <c r="A10" s="20" t="s">
        <v>97</v>
      </c>
      <c r="B10" s="66">
        <v>3</v>
      </c>
      <c r="C10" s="44">
        <v>174900</v>
      </c>
      <c r="D10" s="51">
        <v>524700</v>
      </c>
    </row>
    <row r="11" spans="1:29" ht="28.8" x14ac:dyDescent="0.3">
      <c r="A11" s="36" t="s">
        <v>38</v>
      </c>
      <c r="B11" s="66"/>
      <c r="C11" s="44"/>
      <c r="D11" s="51"/>
    </row>
    <row r="12" spans="1:29" x14ac:dyDescent="0.3">
      <c r="A12" s="20" t="s">
        <v>101</v>
      </c>
      <c r="B12" s="66">
        <v>6</v>
      </c>
      <c r="C12" s="44">
        <v>95400</v>
      </c>
      <c r="D12" s="51">
        <v>286200</v>
      </c>
    </row>
    <row r="13" spans="1:29" x14ac:dyDescent="0.3">
      <c r="A13" s="20" t="s">
        <v>105</v>
      </c>
      <c r="B13" s="66">
        <v>4</v>
      </c>
      <c r="C13" s="44">
        <v>5600</v>
      </c>
      <c r="D13" s="51">
        <v>15120.000000000002</v>
      </c>
    </row>
    <row r="14" spans="1:29" x14ac:dyDescent="0.3">
      <c r="A14" s="43" t="s">
        <v>46</v>
      </c>
      <c r="B14" s="66">
        <v>6</v>
      </c>
      <c r="C14" s="44">
        <v>17400</v>
      </c>
      <c r="D14" s="51">
        <v>46980.000000000007</v>
      </c>
    </row>
    <row r="15" spans="1:29" x14ac:dyDescent="0.3">
      <c r="A15" s="20" t="s">
        <v>111</v>
      </c>
      <c r="B15" s="66">
        <v>24</v>
      </c>
      <c r="C15" s="44">
        <v>48000</v>
      </c>
      <c r="D15" s="51">
        <v>153600</v>
      </c>
    </row>
    <row r="16" spans="1:29" x14ac:dyDescent="0.3">
      <c r="A16" s="36" t="s">
        <v>198</v>
      </c>
      <c r="B16" s="66">
        <v>47</v>
      </c>
      <c r="C16" s="44">
        <v>753000</v>
      </c>
      <c r="D16" s="51">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72"/>
  <sheetViews>
    <sheetView workbookViewId="0">
      <pane ySplit="1" topLeftCell="A80" activePane="bottomLeft" state="frozen"/>
      <selection activeCell="H109" sqref="H109"/>
      <selection pane="bottomLeft" activeCell="H109" sqref="H109"/>
    </sheetView>
  </sheetViews>
  <sheetFormatPr defaultRowHeight="14.4" x14ac:dyDescent="0.3"/>
  <cols>
    <col min="1" max="1" width="11.109375" bestFit="1" customWidth="1"/>
    <col min="2" max="2" width="39.6640625" bestFit="1" customWidth="1"/>
    <col min="3" max="3" width="41" bestFit="1" customWidth="1"/>
    <col min="4" max="4" width="35.77734375" bestFit="1" customWidth="1"/>
    <col min="5" max="5" width="25.109375" bestFit="1" customWidth="1"/>
  </cols>
  <sheetData>
    <row r="1" spans="1:5" x14ac:dyDescent="0.3">
      <c r="A1" s="1" t="s">
        <v>0</v>
      </c>
      <c r="B1" t="s">
        <v>10</v>
      </c>
      <c r="C1" s="1" t="s">
        <v>199</v>
      </c>
      <c r="D1" t="s">
        <v>200</v>
      </c>
      <c r="E1" t="s">
        <v>201</v>
      </c>
    </row>
    <row r="2" spans="1:5" x14ac:dyDescent="0.3">
      <c r="A2" s="10">
        <v>321</v>
      </c>
      <c r="B2" t="s">
        <v>226</v>
      </c>
      <c r="C2" s="13" t="s">
        <v>226</v>
      </c>
      <c r="D2" t="s">
        <v>203</v>
      </c>
    </row>
    <row r="3" spans="1:5" x14ac:dyDescent="0.3">
      <c r="A3" s="10">
        <v>325</v>
      </c>
      <c r="B3" t="s">
        <v>227</v>
      </c>
      <c r="C3" s="13" t="s">
        <v>227</v>
      </c>
      <c r="D3" t="s">
        <v>203</v>
      </c>
    </row>
    <row r="4" spans="1:5" x14ac:dyDescent="0.3">
      <c r="A4" s="10">
        <v>279</v>
      </c>
      <c r="B4" t="s">
        <v>236</v>
      </c>
      <c r="C4" s="13" t="s">
        <v>236</v>
      </c>
      <c r="D4" t="s">
        <v>203</v>
      </c>
    </row>
    <row r="5" spans="1:5" x14ac:dyDescent="0.3">
      <c r="A5" s="10">
        <v>280</v>
      </c>
      <c r="B5" t="s">
        <v>237</v>
      </c>
      <c r="C5" s="13" t="s">
        <v>237</v>
      </c>
      <c r="D5" t="s">
        <v>203</v>
      </c>
    </row>
    <row r="6" spans="1:5" x14ac:dyDescent="0.3">
      <c r="A6" s="10">
        <v>322</v>
      </c>
      <c r="B6" t="s">
        <v>240</v>
      </c>
      <c r="C6" s="13" t="s">
        <v>240</v>
      </c>
      <c r="D6" t="s">
        <v>203</v>
      </c>
    </row>
    <row r="7" spans="1:5" x14ac:dyDescent="0.3">
      <c r="A7" s="10">
        <v>289</v>
      </c>
      <c r="B7" t="s">
        <v>246</v>
      </c>
      <c r="C7" s="13" t="s">
        <v>246</v>
      </c>
      <c r="D7" t="s">
        <v>203</v>
      </c>
    </row>
    <row r="8" spans="1:5" x14ac:dyDescent="0.3">
      <c r="A8" s="10">
        <v>328</v>
      </c>
      <c r="B8" t="s">
        <v>274</v>
      </c>
      <c r="C8" s="13" t="s">
        <v>274</v>
      </c>
      <c r="D8" t="s">
        <v>203</v>
      </c>
    </row>
    <row r="9" spans="1:5" x14ac:dyDescent="0.3">
      <c r="A9" s="10">
        <v>318</v>
      </c>
      <c r="B9" t="s">
        <v>275</v>
      </c>
      <c r="C9" s="13" t="s">
        <v>275</v>
      </c>
      <c r="D9" t="s">
        <v>203</v>
      </c>
    </row>
    <row r="10" spans="1:5" x14ac:dyDescent="0.3">
      <c r="A10" s="10">
        <v>324</v>
      </c>
      <c r="B10" t="s">
        <v>115</v>
      </c>
      <c r="C10" s="13" t="s">
        <v>115</v>
      </c>
      <c r="D10" t="s">
        <v>203</v>
      </c>
    </row>
    <row r="11" spans="1:5" x14ac:dyDescent="0.3">
      <c r="A11" s="10">
        <v>323</v>
      </c>
      <c r="B11" t="s">
        <v>90</v>
      </c>
      <c r="C11" s="13" t="s">
        <v>90</v>
      </c>
      <c r="D11" t="s">
        <v>203</v>
      </c>
    </row>
    <row r="12" spans="1:5" x14ac:dyDescent="0.3">
      <c r="A12" s="10">
        <v>328</v>
      </c>
      <c r="B12" t="s">
        <v>278</v>
      </c>
      <c r="C12" s="13" t="s">
        <v>278</v>
      </c>
      <c r="D12" t="s">
        <v>203</v>
      </c>
    </row>
    <row r="13" spans="1:5" x14ac:dyDescent="0.3">
      <c r="A13" s="10">
        <v>329</v>
      </c>
      <c r="B13" t="s">
        <v>280</v>
      </c>
      <c r="C13" s="13" t="s">
        <v>280</v>
      </c>
      <c r="D13" t="s">
        <v>203</v>
      </c>
    </row>
    <row r="14" spans="1:5" x14ac:dyDescent="0.3">
      <c r="A14" s="10">
        <v>330</v>
      </c>
      <c r="B14" t="s">
        <v>281</v>
      </c>
      <c r="C14" s="13" t="s">
        <v>281</v>
      </c>
      <c r="D14" t="s">
        <v>203</v>
      </c>
    </row>
    <row r="15" spans="1:5" x14ac:dyDescent="0.3">
      <c r="A15" s="10">
        <v>331</v>
      </c>
      <c r="B15" t="s">
        <v>282</v>
      </c>
      <c r="C15" s="13" t="s">
        <v>282</v>
      </c>
      <c r="D15" t="s">
        <v>203</v>
      </c>
    </row>
    <row r="16" spans="1:5" x14ac:dyDescent="0.3">
      <c r="A16" s="10">
        <v>345</v>
      </c>
      <c r="B16" t="s">
        <v>283</v>
      </c>
      <c r="C16" s="13" t="s">
        <v>283</v>
      </c>
      <c r="D16" t="s">
        <v>203</v>
      </c>
    </row>
    <row r="17" spans="1:4" x14ac:dyDescent="0.3">
      <c r="A17" s="10">
        <v>332</v>
      </c>
      <c r="B17" t="s">
        <v>284</v>
      </c>
      <c r="C17" s="13" t="s">
        <v>284</v>
      </c>
      <c r="D17" t="s">
        <v>203</v>
      </c>
    </row>
    <row r="18" spans="1:4" x14ac:dyDescent="0.3">
      <c r="A18" s="10">
        <v>343</v>
      </c>
      <c r="B18" t="s">
        <v>285</v>
      </c>
      <c r="C18" s="13" t="s">
        <v>285</v>
      </c>
      <c r="D18" t="s">
        <v>203</v>
      </c>
    </row>
    <row r="19" spans="1:4" x14ac:dyDescent="0.3">
      <c r="A19" s="10">
        <v>338</v>
      </c>
      <c r="B19" t="s">
        <v>291</v>
      </c>
      <c r="C19" s="13" t="s">
        <v>291</v>
      </c>
      <c r="D19" t="s">
        <v>203</v>
      </c>
    </row>
    <row r="20" spans="1:4" x14ac:dyDescent="0.3">
      <c r="A20" s="10">
        <v>339</v>
      </c>
      <c r="B20" t="s">
        <v>292</v>
      </c>
      <c r="C20" s="13" t="s">
        <v>292</v>
      </c>
      <c r="D20" t="s">
        <v>203</v>
      </c>
    </row>
    <row r="21" spans="1:4" x14ac:dyDescent="0.3">
      <c r="A21" s="10">
        <v>346</v>
      </c>
      <c r="B21" t="s">
        <v>293</v>
      </c>
      <c r="C21" s="13" t="s">
        <v>293</v>
      </c>
      <c r="D21" t="s">
        <v>203</v>
      </c>
    </row>
    <row r="22" spans="1:4" x14ac:dyDescent="0.3">
      <c r="A22" s="10">
        <v>344</v>
      </c>
      <c r="B22" t="s">
        <v>295</v>
      </c>
      <c r="C22" s="13" t="s">
        <v>295</v>
      </c>
      <c r="D22" t="s">
        <v>203</v>
      </c>
    </row>
    <row r="23" spans="1:4" x14ac:dyDescent="0.3">
      <c r="A23" s="10">
        <v>342</v>
      </c>
      <c r="B23" t="s">
        <v>298</v>
      </c>
      <c r="C23" s="13" t="s">
        <v>298</v>
      </c>
      <c r="D23" t="s">
        <v>315</v>
      </c>
    </row>
    <row r="24" spans="1:4" x14ac:dyDescent="0.3">
      <c r="A24" s="10">
        <v>358</v>
      </c>
      <c r="B24" t="s">
        <v>28</v>
      </c>
      <c r="C24" s="13" t="s">
        <v>28</v>
      </c>
    </row>
    <row r="25" spans="1:4" x14ac:dyDescent="0.3">
      <c r="A25" s="10">
        <v>360</v>
      </c>
      <c r="B25" t="s">
        <v>313</v>
      </c>
      <c r="C25" s="13" t="s">
        <v>313</v>
      </c>
      <c r="D25" t="s">
        <v>312</v>
      </c>
    </row>
    <row r="26" spans="1:4" x14ac:dyDescent="0.3">
      <c r="A26" s="10">
        <v>362</v>
      </c>
      <c r="B26" t="s">
        <v>316</v>
      </c>
      <c r="C26" s="13" t="s">
        <v>316</v>
      </c>
      <c r="D26" t="s">
        <v>315</v>
      </c>
    </row>
    <row r="27" spans="1:4" x14ac:dyDescent="0.3">
      <c r="A27" s="10">
        <v>370</v>
      </c>
      <c r="B27" t="s">
        <v>125</v>
      </c>
      <c r="C27" s="13" t="s">
        <v>125</v>
      </c>
      <c r="D27" t="s">
        <v>302</v>
      </c>
    </row>
    <row r="28" spans="1:4" x14ac:dyDescent="0.3">
      <c r="A28" s="10">
        <v>373</v>
      </c>
      <c r="B28" t="s">
        <v>597</v>
      </c>
      <c r="C28" s="13" t="s">
        <v>597</v>
      </c>
      <c r="D28" t="s">
        <v>203</v>
      </c>
    </row>
    <row r="29" spans="1:4" x14ac:dyDescent="0.3">
      <c r="A29" s="10">
        <v>375</v>
      </c>
      <c r="B29" t="s">
        <v>600</v>
      </c>
      <c r="C29" s="13" t="s">
        <v>600</v>
      </c>
      <c r="D29" t="s">
        <v>203</v>
      </c>
    </row>
    <row r="30" spans="1:4" x14ac:dyDescent="0.3">
      <c r="A30" s="10">
        <v>382</v>
      </c>
      <c r="B30" t="s">
        <v>608</v>
      </c>
      <c r="C30" s="13" t="s">
        <v>608</v>
      </c>
      <c r="D30" t="s">
        <v>203</v>
      </c>
    </row>
    <row r="31" spans="1:4" x14ac:dyDescent="0.3">
      <c r="A31" s="10">
        <v>355</v>
      </c>
      <c r="B31" t="s">
        <v>656</v>
      </c>
      <c r="C31" s="13" t="s">
        <v>656</v>
      </c>
      <c r="D31" t="s">
        <v>203</v>
      </c>
    </row>
    <row r="32" spans="1:4" x14ac:dyDescent="0.3">
      <c r="A32" s="10">
        <v>357</v>
      </c>
      <c r="B32" t="s">
        <v>657</v>
      </c>
      <c r="C32" s="13" t="s">
        <v>657</v>
      </c>
      <c r="D32" t="s">
        <v>203</v>
      </c>
    </row>
    <row r="33" spans="1:4" x14ac:dyDescent="0.3">
      <c r="A33" s="10">
        <v>322</v>
      </c>
      <c r="B33" t="s">
        <v>279</v>
      </c>
      <c r="C33" s="13" t="s">
        <v>279</v>
      </c>
      <c r="D33" t="s">
        <v>203</v>
      </c>
    </row>
    <row r="34" spans="1:4" x14ac:dyDescent="0.3">
      <c r="A34" s="10">
        <v>336</v>
      </c>
      <c r="B34" t="s">
        <v>289</v>
      </c>
      <c r="C34" s="13" t="s">
        <v>289</v>
      </c>
      <c r="D34" t="s">
        <v>203</v>
      </c>
    </row>
    <row r="35" spans="1:4" x14ac:dyDescent="0.3">
      <c r="A35" s="10">
        <v>337</v>
      </c>
      <c r="B35" t="s">
        <v>290</v>
      </c>
      <c r="C35" s="13" t="s">
        <v>290</v>
      </c>
      <c r="D35" t="s">
        <v>203</v>
      </c>
    </row>
    <row r="36" spans="1:4" x14ac:dyDescent="0.3">
      <c r="A36" s="10">
        <v>349</v>
      </c>
      <c r="B36" t="s">
        <v>300</v>
      </c>
      <c r="C36" s="13" t="s">
        <v>300</v>
      </c>
      <c r="D36" t="s">
        <v>203</v>
      </c>
    </row>
    <row r="37" spans="1:4" x14ac:dyDescent="0.3">
      <c r="A37" s="10">
        <v>351</v>
      </c>
      <c r="B37" t="s">
        <v>303</v>
      </c>
      <c r="C37" s="13" t="s">
        <v>303</v>
      </c>
      <c r="D37" t="s">
        <v>658</v>
      </c>
    </row>
    <row r="38" spans="1:4" x14ac:dyDescent="0.3">
      <c r="A38" s="10">
        <v>352</v>
      </c>
      <c r="B38" t="s">
        <v>304</v>
      </c>
      <c r="C38" s="13" t="s">
        <v>304</v>
      </c>
      <c r="D38" t="s">
        <v>658</v>
      </c>
    </row>
    <row r="39" spans="1:4" x14ac:dyDescent="0.3">
      <c r="A39" s="10">
        <v>352</v>
      </c>
      <c r="B39" t="s">
        <v>305</v>
      </c>
      <c r="C39" s="13" t="s">
        <v>305</v>
      </c>
      <c r="D39" t="s">
        <v>658</v>
      </c>
    </row>
    <row r="40" spans="1:4" x14ac:dyDescent="0.3">
      <c r="A40" s="10">
        <v>353</v>
      </c>
      <c r="B40" t="s">
        <v>306</v>
      </c>
      <c r="C40" s="13" t="s">
        <v>306</v>
      </c>
      <c r="D40" t="s">
        <v>658</v>
      </c>
    </row>
    <row r="41" spans="1:4" x14ac:dyDescent="0.3">
      <c r="A41" s="10">
        <v>354</v>
      </c>
      <c r="B41" t="s">
        <v>307</v>
      </c>
      <c r="C41" s="13" t="s">
        <v>307</v>
      </c>
      <c r="D41" t="s">
        <v>658</v>
      </c>
    </row>
    <row r="42" spans="1:4" x14ac:dyDescent="0.3">
      <c r="A42" s="10">
        <v>355</v>
      </c>
      <c r="B42" t="s">
        <v>308</v>
      </c>
      <c r="C42" s="13" t="s">
        <v>308</v>
      </c>
      <c r="D42" t="s">
        <v>658</v>
      </c>
    </row>
    <row r="43" spans="1:4" x14ac:dyDescent="0.3">
      <c r="A43" s="10">
        <v>357</v>
      </c>
      <c r="B43" t="s">
        <v>309</v>
      </c>
      <c r="C43" s="13" t="s">
        <v>309</v>
      </c>
      <c r="D43" t="s">
        <v>310</v>
      </c>
    </row>
    <row r="44" spans="1:4" x14ac:dyDescent="0.3">
      <c r="A44" s="10">
        <v>363</v>
      </c>
      <c r="B44" t="s">
        <v>317</v>
      </c>
      <c r="C44" s="13" t="s">
        <v>317</v>
      </c>
      <c r="D44" t="s">
        <v>315</v>
      </c>
    </row>
    <row r="45" spans="1:4" x14ac:dyDescent="0.3">
      <c r="A45" s="10">
        <v>251</v>
      </c>
      <c r="B45" t="s">
        <v>202</v>
      </c>
      <c r="C45" s="13" t="s">
        <v>202</v>
      </c>
      <c r="D45" t="s">
        <v>203</v>
      </c>
    </row>
    <row r="46" spans="1:4" x14ac:dyDescent="0.3">
      <c r="A46" s="10">
        <v>252</v>
      </c>
      <c r="B46" t="s">
        <v>204</v>
      </c>
      <c r="C46" s="13" t="s">
        <v>204</v>
      </c>
      <c r="D46" t="s">
        <v>203</v>
      </c>
    </row>
    <row r="47" spans="1:4" x14ac:dyDescent="0.3">
      <c r="A47" s="10">
        <v>253</v>
      </c>
      <c r="B47" t="s">
        <v>205</v>
      </c>
      <c r="C47" s="13" t="s">
        <v>205</v>
      </c>
      <c r="D47" t="s">
        <v>203</v>
      </c>
    </row>
    <row r="48" spans="1:4" x14ac:dyDescent="0.3">
      <c r="A48" s="10">
        <v>254</v>
      </c>
      <c r="B48" t="s">
        <v>206</v>
      </c>
      <c r="C48" s="13" t="s">
        <v>206</v>
      </c>
      <c r="D48" t="s">
        <v>203</v>
      </c>
    </row>
    <row r="49" spans="1:4" x14ac:dyDescent="0.3">
      <c r="A49" s="10">
        <v>255</v>
      </c>
      <c r="B49" t="s">
        <v>207</v>
      </c>
      <c r="C49" s="13" t="s">
        <v>207</v>
      </c>
      <c r="D49" t="s">
        <v>203</v>
      </c>
    </row>
    <row r="50" spans="1:4" x14ac:dyDescent="0.3">
      <c r="A50" s="10">
        <v>256</v>
      </c>
      <c r="B50" t="s">
        <v>208</v>
      </c>
      <c r="C50" s="13" t="s">
        <v>208</v>
      </c>
      <c r="D50" t="s">
        <v>203</v>
      </c>
    </row>
    <row r="51" spans="1:4" x14ac:dyDescent="0.3">
      <c r="A51" s="10">
        <v>257</v>
      </c>
      <c r="B51" t="s">
        <v>209</v>
      </c>
      <c r="C51" s="13" t="s">
        <v>209</v>
      </c>
      <c r="D51" t="s">
        <v>203</v>
      </c>
    </row>
    <row r="52" spans="1:4" x14ac:dyDescent="0.3">
      <c r="A52" s="10">
        <v>258</v>
      </c>
      <c r="B52" t="s">
        <v>210</v>
      </c>
      <c r="C52" s="13" t="s">
        <v>210</v>
      </c>
      <c r="D52" t="s">
        <v>203</v>
      </c>
    </row>
    <row r="53" spans="1:4" x14ac:dyDescent="0.3">
      <c r="A53" s="10">
        <v>259</v>
      </c>
      <c r="B53" t="s">
        <v>211</v>
      </c>
      <c r="C53" s="13" t="s">
        <v>211</v>
      </c>
      <c r="D53" t="s">
        <v>203</v>
      </c>
    </row>
    <row r="54" spans="1:4" x14ac:dyDescent="0.3">
      <c r="A54" s="10">
        <v>260</v>
      </c>
      <c r="B54" t="s">
        <v>212</v>
      </c>
      <c r="C54" s="13" t="s">
        <v>212</v>
      </c>
      <c r="D54" t="s">
        <v>203</v>
      </c>
    </row>
    <row r="55" spans="1:4" x14ac:dyDescent="0.3">
      <c r="A55" s="10">
        <v>261</v>
      </c>
      <c r="B55" t="s">
        <v>213</v>
      </c>
      <c r="C55" s="13" t="s">
        <v>213</v>
      </c>
      <c r="D55" t="s">
        <v>203</v>
      </c>
    </row>
    <row r="56" spans="1:4" x14ac:dyDescent="0.3">
      <c r="A56" s="10">
        <v>262</v>
      </c>
      <c r="B56" t="s">
        <v>214</v>
      </c>
      <c r="C56" s="13" t="s">
        <v>214</v>
      </c>
      <c r="D56" t="s">
        <v>203</v>
      </c>
    </row>
    <row r="57" spans="1:4" x14ac:dyDescent="0.3">
      <c r="A57" s="10">
        <v>263</v>
      </c>
      <c r="B57" t="s">
        <v>215</v>
      </c>
      <c r="C57" s="13" t="s">
        <v>215</v>
      </c>
      <c r="D57" t="s">
        <v>203</v>
      </c>
    </row>
    <row r="58" spans="1:4" x14ac:dyDescent="0.3">
      <c r="A58" s="10">
        <v>264</v>
      </c>
      <c r="B58" t="s">
        <v>216</v>
      </c>
      <c r="C58" s="13" t="s">
        <v>216</v>
      </c>
      <c r="D58" t="s">
        <v>203</v>
      </c>
    </row>
    <row r="59" spans="1:4" x14ac:dyDescent="0.3">
      <c r="A59" s="10">
        <v>265</v>
      </c>
      <c r="B59" t="s">
        <v>217</v>
      </c>
      <c r="C59" s="13" t="s">
        <v>217</v>
      </c>
      <c r="D59" t="s">
        <v>203</v>
      </c>
    </row>
    <row r="60" spans="1:4" x14ac:dyDescent="0.3">
      <c r="A60" s="10">
        <v>266</v>
      </c>
      <c r="B60" t="s">
        <v>218</v>
      </c>
      <c r="C60" s="13" t="s">
        <v>218</v>
      </c>
      <c r="D60" t="s">
        <v>203</v>
      </c>
    </row>
    <row r="61" spans="1:4" x14ac:dyDescent="0.3">
      <c r="A61" s="10">
        <v>267</v>
      </c>
      <c r="B61" t="s">
        <v>219</v>
      </c>
      <c r="C61" s="13" t="s">
        <v>219</v>
      </c>
      <c r="D61" t="s">
        <v>203</v>
      </c>
    </row>
    <row r="62" spans="1:4" x14ac:dyDescent="0.3">
      <c r="A62" s="10">
        <v>268</v>
      </c>
      <c r="B62" t="s">
        <v>220</v>
      </c>
      <c r="C62" s="13" t="s">
        <v>220</v>
      </c>
      <c r="D62" t="s">
        <v>203</v>
      </c>
    </row>
    <row r="63" spans="1:4" x14ac:dyDescent="0.3">
      <c r="A63" s="10">
        <v>269</v>
      </c>
      <c r="B63" t="s">
        <v>221</v>
      </c>
      <c r="C63" s="13" t="s">
        <v>221</v>
      </c>
      <c r="D63" t="s">
        <v>203</v>
      </c>
    </row>
    <row r="64" spans="1:4" x14ac:dyDescent="0.3">
      <c r="A64" s="10">
        <v>270</v>
      </c>
      <c r="B64" t="s">
        <v>222</v>
      </c>
      <c r="C64" s="13" t="s">
        <v>222</v>
      </c>
      <c r="D64" t="s">
        <v>203</v>
      </c>
    </row>
    <row r="65" spans="1:4" x14ac:dyDescent="0.3">
      <c r="A65" s="10">
        <v>271</v>
      </c>
      <c r="B65" t="s">
        <v>223</v>
      </c>
      <c r="C65" s="13" t="s">
        <v>223</v>
      </c>
      <c r="D65" t="s">
        <v>203</v>
      </c>
    </row>
    <row r="66" spans="1:4" x14ac:dyDescent="0.3">
      <c r="A66" s="10">
        <v>282</v>
      </c>
      <c r="B66" t="s">
        <v>224</v>
      </c>
      <c r="C66" s="13" t="s">
        <v>224</v>
      </c>
      <c r="D66" t="s">
        <v>203</v>
      </c>
    </row>
    <row r="67" spans="1:4" x14ac:dyDescent="0.3">
      <c r="A67" s="10">
        <v>320</v>
      </c>
      <c r="B67" t="s">
        <v>225</v>
      </c>
      <c r="C67" s="13" t="s">
        <v>225</v>
      </c>
      <c r="D67" t="s">
        <v>203</v>
      </c>
    </row>
    <row r="68" spans="1:4" x14ac:dyDescent="0.3">
      <c r="A68" s="10">
        <v>326</v>
      </c>
      <c r="B68" t="s">
        <v>228</v>
      </c>
      <c r="C68" s="13" t="s">
        <v>228</v>
      </c>
      <c r="D68" t="s">
        <v>203</v>
      </c>
    </row>
    <row r="69" spans="1:4" x14ac:dyDescent="0.3">
      <c r="A69" s="10">
        <v>272</v>
      </c>
      <c r="B69" t="s">
        <v>229</v>
      </c>
      <c r="C69" s="13" t="s">
        <v>229</v>
      </c>
      <c r="D69" t="s">
        <v>203</v>
      </c>
    </row>
    <row r="70" spans="1:4" x14ac:dyDescent="0.3">
      <c r="A70" s="10">
        <v>273</v>
      </c>
      <c r="B70" t="s">
        <v>230</v>
      </c>
      <c r="C70" s="13" t="s">
        <v>230</v>
      </c>
      <c r="D70" t="s">
        <v>203</v>
      </c>
    </row>
    <row r="71" spans="1:4" x14ac:dyDescent="0.3">
      <c r="A71" s="10">
        <v>274</v>
      </c>
      <c r="B71" t="s">
        <v>231</v>
      </c>
      <c r="C71" s="13" t="s">
        <v>231</v>
      </c>
      <c r="D71" t="s">
        <v>203</v>
      </c>
    </row>
    <row r="72" spans="1:4" x14ac:dyDescent="0.3">
      <c r="A72" s="10">
        <v>275</v>
      </c>
      <c r="B72" t="s">
        <v>232</v>
      </c>
      <c r="C72" s="13" t="s">
        <v>232</v>
      </c>
      <c r="D72" t="s">
        <v>203</v>
      </c>
    </row>
    <row r="73" spans="1:4" x14ac:dyDescent="0.3">
      <c r="A73" s="10">
        <v>276</v>
      </c>
      <c r="B73" t="s">
        <v>233</v>
      </c>
      <c r="C73" s="13" t="s">
        <v>233</v>
      </c>
      <c r="D73" t="s">
        <v>203</v>
      </c>
    </row>
    <row r="74" spans="1:4" x14ac:dyDescent="0.3">
      <c r="A74" s="10">
        <v>277</v>
      </c>
      <c r="B74" t="s">
        <v>659</v>
      </c>
      <c r="C74" s="13" t="s">
        <v>659</v>
      </c>
      <c r="D74" t="s">
        <v>203</v>
      </c>
    </row>
    <row r="75" spans="1:4" x14ac:dyDescent="0.3">
      <c r="A75" s="10">
        <v>278</v>
      </c>
      <c r="B75" t="s">
        <v>235</v>
      </c>
      <c r="C75" s="13" t="s">
        <v>235</v>
      </c>
      <c r="D75" t="s">
        <v>203</v>
      </c>
    </row>
    <row r="76" spans="1:4" x14ac:dyDescent="0.3">
      <c r="A76" s="10">
        <v>281</v>
      </c>
      <c r="B76" t="s">
        <v>238</v>
      </c>
      <c r="C76" s="13" t="s">
        <v>238</v>
      </c>
      <c r="D76" t="s">
        <v>203</v>
      </c>
    </row>
    <row r="77" spans="1:4" x14ac:dyDescent="0.3">
      <c r="A77" s="10">
        <v>283</v>
      </c>
      <c r="B77" t="s">
        <v>239</v>
      </c>
      <c r="C77" s="13" t="s">
        <v>239</v>
      </c>
      <c r="D77" t="s">
        <v>203</v>
      </c>
    </row>
    <row r="78" spans="1:4" x14ac:dyDescent="0.3">
      <c r="A78" s="10">
        <v>284</v>
      </c>
      <c r="B78" t="s">
        <v>241</v>
      </c>
      <c r="C78" s="13" t="s">
        <v>241</v>
      </c>
      <c r="D78" t="s">
        <v>203</v>
      </c>
    </row>
    <row r="79" spans="1:4" x14ac:dyDescent="0.3">
      <c r="A79" s="10">
        <v>285</v>
      </c>
      <c r="B79" t="s">
        <v>242</v>
      </c>
      <c r="C79" s="13" t="s">
        <v>242</v>
      </c>
      <c r="D79" t="s">
        <v>203</v>
      </c>
    </row>
    <row r="80" spans="1:4" x14ac:dyDescent="0.3">
      <c r="A80" s="10">
        <v>286</v>
      </c>
      <c r="B80" t="s">
        <v>243</v>
      </c>
      <c r="C80" s="13" t="s">
        <v>243</v>
      </c>
      <c r="D80" t="s">
        <v>203</v>
      </c>
    </row>
    <row r="81" spans="1:5" x14ac:dyDescent="0.3">
      <c r="A81" s="10">
        <v>287</v>
      </c>
      <c r="B81" t="s">
        <v>244</v>
      </c>
      <c r="C81" s="13" t="s">
        <v>244</v>
      </c>
      <c r="D81" t="s">
        <v>203</v>
      </c>
    </row>
    <row r="82" spans="1:5" x14ac:dyDescent="0.3">
      <c r="A82" s="10">
        <v>293</v>
      </c>
      <c r="B82" t="s">
        <v>245</v>
      </c>
      <c r="C82" s="13" t="s">
        <v>245</v>
      </c>
      <c r="D82" t="s">
        <v>203</v>
      </c>
      <c r="E82" t="s">
        <v>599</v>
      </c>
    </row>
    <row r="83" spans="1:5" x14ac:dyDescent="0.3">
      <c r="A83" s="10">
        <v>290</v>
      </c>
      <c r="B83" t="s">
        <v>247</v>
      </c>
      <c r="C83" s="13" t="s">
        <v>247</v>
      </c>
      <c r="D83" t="s">
        <v>203</v>
      </c>
    </row>
    <row r="84" spans="1:5" x14ac:dyDescent="0.3">
      <c r="A84" s="10">
        <v>291</v>
      </c>
      <c r="B84" t="s">
        <v>248</v>
      </c>
      <c r="C84" s="13" t="s">
        <v>248</v>
      </c>
      <c r="D84" t="s">
        <v>203</v>
      </c>
    </row>
    <row r="85" spans="1:5" x14ac:dyDescent="0.3">
      <c r="A85" s="10">
        <v>292</v>
      </c>
      <c r="B85" t="s">
        <v>249</v>
      </c>
      <c r="C85" s="13" t="s">
        <v>249</v>
      </c>
      <c r="D85" t="s">
        <v>203</v>
      </c>
    </row>
    <row r="86" spans="1:5" x14ac:dyDescent="0.3">
      <c r="A86" s="10">
        <v>294</v>
      </c>
      <c r="B86" t="s">
        <v>250</v>
      </c>
      <c r="C86" s="13" t="s">
        <v>250</v>
      </c>
      <c r="D86" t="s">
        <v>203</v>
      </c>
      <c r="E86" t="s">
        <v>599</v>
      </c>
    </row>
    <row r="87" spans="1:5" x14ac:dyDescent="0.3">
      <c r="A87" s="10">
        <v>295</v>
      </c>
      <c r="B87" t="s">
        <v>234</v>
      </c>
      <c r="C87" s="13" t="s">
        <v>234</v>
      </c>
      <c r="D87" t="s">
        <v>203</v>
      </c>
    </row>
    <row r="88" spans="1:5" x14ac:dyDescent="0.3">
      <c r="A88" s="10">
        <v>296</v>
      </c>
      <c r="B88" t="s">
        <v>252</v>
      </c>
      <c r="C88" s="13" t="s">
        <v>252</v>
      </c>
      <c r="D88" t="s">
        <v>253</v>
      </c>
    </row>
    <row r="89" spans="1:5" x14ac:dyDescent="0.3">
      <c r="A89" s="10">
        <v>297</v>
      </c>
      <c r="B89" t="s">
        <v>254</v>
      </c>
      <c r="C89" s="13" t="s">
        <v>254</v>
      </c>
      <c r="D89" t="s">
        <v>203</v>
      </c>
    </row>
    <row r="90" spans="1:5" x14ac:dyDescent="0.3">
      <c r="A90" s="10">
        <v>298</v>
      </c>
      <c r="B90" t="s">
        <v>255</v>
      </c>
      <c r="C90" s="13" t="s">
        <v>255</v>
      </c>
      <c r="D90" t="s">
        <v>203</v>
      </c>
    </row>
    <row r="91" spans="1:5" x14ac:dyDescent="0.3">
      <c r="A91" s="10">
        <v>299</v>
      </c>
      <c r="B91" t="s">
        <v>256</v>
      </c>
      <c r="C91" s="13" t="s">
        <v>256</v>
      </c>
      <c r="D91" t="s">
        <v>203</v>
      </c>
    </row>
    <row r="92" spans="1:5" x14ac:dyDescent="0.3">
      <c r="A92" s="10">
        <v>300</v>
      </c>
      <c r="B92" t="s">
        <v>257</v>
      </c>
      <c r="C92" s="13" t="s">
        <v>257</v>
      </c>
      <c r="D92" t="s">
        <v>203</v>
      </c>
    </row>
    <row r="93" spans="1:5" x14ac:dyDescent="0.3">
      <c r="A93" s="10">
        <v>301</v>
      </c>
      <c r="B93" t="s">
        <v>258</v>
      </c>
      <c r="C93" s="13" t="s">
        <v>258</v>
      </c>
      <c r="D93" t="s">
        <v>203</v>
      </c>
    </row>
    <row r="94" spans="1:5" x14ac:dyDescent="0.3">
      <c r="A94" s="10">
        <v>302</v>
      </c>
      <c r="B94" t="s">
        <v>259</v>
      </c>
      <c r="C94" s="13" t="s">
        <v>259</v>
      </c>
      <c r="D94" t="s">
        <v>203</v>
      </c>
    </row>
    <row r="95" spans="1:5" x14ac:dyDescent="0.3">
      <c r="A95" s="10">
        <v>303</v>
      </c>
      <c r="B95" t="s">
        <v>260</v>
      </c>
      <c r="C95" s="13" t="s">
        <v>260</v>
      </c>
      <c r="D95" t="s">
        <v>203</v>
      </c>
    </row>
    <row r="96" spans="1:5" x14ac:dyDescent="0.3">
      <c r="A96" s="10">
        <v>304</v>
      </c>
      <c r="B96" t="s">
        <v>261</v>
      </c>
      <c r="C96" s="13" t="s">
        <v>261</v>
      </c>
      <c r="D96" t="s">
        <v>203</v>
      </c>
    </row>
    <row r="97" spans="1:4" x14ac:dyDescent="0.3">
      <c r="A97" s="10">
        <v>305</v>
      </c>
      <c r="B97" t="s">
        <v>262</v>
      </c>
      <c r="C97" s="13" t="s">
        <v>262</v>
      </c>
      <c r="D97" t="s">
        <v>203</v>
      </c>
    </row>
    <row r="98" spans="1:4" x14ac:dyDescent="0.3">
      <c r="A98" s="10">
        <v>306</v>
      </c>
      <c r="B98" t="s">
        <v>263</v>
      </c>
      <c r="C98" s="13" t="s">
        <v>263</v>
      </c>
      <c r="D98" t="s">
        <v>203</v>
      </c>
    </row>
    <row r="99" spans="1:4" x14ac:dyDescent="0.3">
      <c r="A99" s="10">
        <v>307</v>
      </c>
      <c r="B99" t="s">
        <v>264</v>
      </c>
      <c r="C99" s="13" t="s">
        <v>264</v>
      </c>
      <c r="D99" t="s">
        <v>203</v>
      </c>
    </row>
    <row r="100" spans="1:4" x14ac:dyDescent="0.3">
      <c r="A100" s="10">
        <v>308</v>
      </c>
      <c r="B100" t="s">
        <v>265</v>
      </c>
      <c r="C100" s="13" t="s">
        <v>265</v>
      </c>
      <c r="D100" t="s">
        <v>203</v>
      </c>
    </row>
    <row r="101" spans="1:4" x14ac:dyDescent="0.3">
      <c r="A101" s="10">
        <v>309</v>
      </c>
      <c r="B101" t="s">
        <v>266</v>
      </c>
      <c r="C101" s="13" t="s">
        <v>266</v>
      </c>
      <c r="D101" t="s">
        <v>203</v>
      </c>
    </row>
    <row r="102" spans="1:4" x14ac:dyDescent="0.3">
      <c r="A102" s="10">
        <v>310</v>
      </c>
      <c r="B102" t="s">
        <v>267</v>
      </c>
      <c r="C102" s="13" t="s">
        <v>267</v>
      </c>
      <c r="D102" t="s">
        <v>203</v>
      </c>
    </row>
    <row r="103" spans="1:4" x14ac:dyDescent="0.3">
      <c r="A103" s="10">
        <v>311</v>
      </c>
      <c r="B103" t="s">
        <v>268</v>
      </c>
      <c r="C103" s="13" t="s">
        <v>268</v>
      </c>
      <c r="D103" t="s">
        <v>203</v>
      </c>
    </row>
    <row r="104" spans="1:4" x14ac:dyDescent="0.3">
      <c r="A104" s="10">
        <v>312</v>
      </c>
      <c r="B104" t="s">
        <v>269</v>
      </c>
      <c r="C104" s="13" t="s">
        <v>269</v>
      </c>
      <c r="D104" t="s">
        <v>203</v>
      </c>
    </row>
    <row r="105" spans="1:4" x14ac:dyDescent="0.3">
      <c r="A105" s="10">
        <v>313</v>
      </c>
      <c r="B105" t="s">
        <v>270</v>
      </c>
      <c r="C105" s="13" t="s">
        <v>270</v>
      </c>
      <c r="D105" t="s">
        <v>203</v>
      </c>
    </row>
    <row r="106" spans="1:4" x14ac:dyDescent="0.3">
      <c r="A106" s="10">
        <v>316</v>
      </c>
      <c r="B106" t="s">
        <v>271</v>
      </c>
      <c r="C106" s="13" t="s">
        <v>271</v>
      </c>
      <c r="D106" t="s">
        <v>203</v>
      </c>
    </row>
    <row r="107" spans="1:4" x14ac:dyDescent="0.3">
      <c r="A107" s="10">
        <v>321</v>
      </c>
      <c r="B107" t="s">
        <v>272</v>
      </c>
      <c r="C107" s="13" t="s">
        <v>272</v>
      </c>
      <c r="D107" t="s">
        <v>203</v>
      </c>
    </row>
    <row r="108" spans="1:4" x14ac:dyDescent="0.3">
      <c r="A108" s="10">
        <v>317</v>
      </c>
      <c r="B108" t="s">
        <v>273</v>
      </c>
      <c r="C108" s="13" t="s">
        <v>273</v>
      </c>
      <c r="D108" t="s">
        <v>203</v>
      </c>
    </row>
    <row r="109" spans="1:4" x14ac:dyDescent="0.3">
      <c r="A109" s="10">
        <v>319</v>
      </c>
      <c r="B109" t="s">
        <v>276</v>
      </c>
      <c r="C109" s="13" t="s">
        <v>276</v>
      </c>
      <c r="D109" t="s">
        <v>203</v>
      </c>
    </row>
    <row r="110" spans="1:4" x14ac:dyDescent="0.3">
      <c r="A110" s="10">
        <v>288</v>
      </c>
      <c r="B110" t="s">
        <v>277</v>
      </c>
      <c r="C110" s="13" t="s">
        <v>277</v>
      </c>
    </row>
    <row r="111" spans="1:4" x14ac:dyDescent="0.3">
      <c r="A111" s="10">
        <v>327</v>
      </c>
      <c r="B111" t="s">
        <v>267</v>
      </c>
      <c r="C111" s="13" t="s">
        <v>267</v>
      </c>
      <c r="D111" t="s">
        <v>203</v>
      </c>
    </row>
    <row r="112" spans="1:4" x14ac:dyDescent="0.3">
      <c r="A112" s="10">
        <v>333</v>
      </c>
      <c r="B112" t="s">
        <v>286</v>
      </c>
      <c r="C112" s="13" t="s">
        <v>286</v>
      </c>
      <c r="D112" t="s">
        <v>203</v>
      </c>
    </row>
    <row r="113" spans="1:5" x14ac:dyDescent="0.3">
      <c r="A113" s="10">
        <v>334</v>
      </c>
      <c r="B113" t="s">
        <v>287</v>
      </c>
      <c r="C113" s="13" t="s">
        <v>287</v>
      </c>
      <c r="D113" t="s">
        <v>203</v>
      </c>
    </row>
    <row r="114" spans="1:5" x14ac:dyDescent="0.3">
      <c r="A114" s="10">
        <v>335</v>
      </c>
      <c r="B114" t="s">
        <v>288</v>
      </c>
      <c r="C114" s="13" t="s">
        <v>288</v>
      </c>
      <c r="D114" t="s">
        <v>203</v>
      </c>
    </row>
    <row r="115" spans="1:5" x14ac:dyDescent="0.3">
      <c r="A115" s="10">
        <v>340</v>
      </c>
      <c r="B115" t="s">
        <v>294</v>
      </c>
      <c r="C115" s="13" t="s">
        <v>294</v>
      </c>
      <c r="D115" t="s">
        <v>203</v>
      </c>
    </row>
    <row r="116" spans="1:5" x14ac:dyDescent="0.3">
      <c r="A116" s="10">
        <v>347</v>
      </c>
      <c r="B116" t="s">
        <v>296</v>
      </c>
      <c r="C116" s="13" t="s">
        <v>296</v>
      </c>
      <c r="D116" t="s">
        <v>203</v>
      </c>
    </row>
    <row r="117" spans="1:5" x14ac:dyDescent="0.3">
      <c r="A117" s="10">
        <v>341</v>
      </c>
      <c r="B117" t="s">
        <v>297</v>
      </c>
      <c r="C117" s="13" t="s">
        <v>297</v>
      </c>
      <c r="D117" t="s">
        <v>315</v>
      </c>
    </row>
    <row r="118" spans="1:5" x14ac:dyDescent="0.3">
      <c r="A118" s="10">
        <v>348</v>
      </c>
      <c r="B118" t="s">
        <v>299</v>
      </c>
      <c r="C118" s="13" t="s">
        <v>299</v>
      </c>
      <c r="D118" t="s">
        <v>203</v>
      </c>
    </row>
    <row r="119" spans="1:5" x14ac:dyDescent="0.3">
      <c r="A119" s="10">
        <v>350</v>
      </c>
      <c r="B119" t="s">
        <v>301</v>
      </c>
      <c r="C119" s="13" t="s">
        <v>301</v>
      </c>
      <c r="D119" t="s">
        <v>658</v>
      </c>
      <c r="E119" t="s">
        <v>599</v>
      </c>
    </row>
    <row r="120" spans="1:5" x14ac:dyDescent="0.3">
      <c r="A120" s="10">
        <v>359</v>
      </c>
      <c r="B120" t="s">
        <v>311</v>
      </c>
      <c r="C120" s="13" t="s">
        <v>311</v>
      </c>
      <c r="D120" t="s">
        <v>312</v>
      </c>
    </row>
    <row r="121" spans="1:5" x14ac:dyDescent="0.3">
      <c r="A121" s="10">
        <v>361</v>
      </c>
      <c r="B121" t="s">
        <v>314</v>
      </c>
      <c r="C121" s="13" t="s">
        <v>314</v>
      </c>
      <c r="D121" t="s">
        <v>315</v>
      </c>
    </row>
    <row r="122" spans="1:5" x14ac:dyDescent="0.3">
      <c r="A122" s="10">
        <v>364</v>
      </c>
      <c r="B122" t="s">
        <v>318</v>
      </c>
      <c r="C122" s="13" t="s">
        <v>318</v>
      </c>
      <c r="D122" t="s">
        <v>203</v>
      </c>
    </row>
    <row r="123" spans="1:5" x14ac:dyDescent="0.3">
      <c r="A123" s="10">
        <v>365</v>
      </c>
      <c r="B123" t="s">
        <v>319</v>
      </c>
      <c r="C123" s="13" t="s">
        <v>319</v>
      </c>
      <c r="D123" t="s">
        <v>203</v>
      </c>
    </row>
    <row r="124" spans="1:5" x14ac:dyDescent="0.3">
      <c r="A124" s="10">
        <v>366</v>
      </c>
      <c r="B124" t="s">
        <v>320</v>
      </c>
      <c r="C124" s="13" t="s">
        <v>320</v>
      </c>
      <c r="D124" t="s">
        <v>203</v>
      </c>
    </row>
    <row r="125" spans="1:5" x14ac:dyDescent="0.3">
      <c r="A125" s="10">
        <v>367</v>
      </c>
      <c r="B125" t="s">
        <v>321</v>
      </c>
      <c r="C125" s="13" t="s">
        <v>321</v>
      </c>
      <c r="D125" t="s">
        <v>203</v>
      </c>
    </row>
    <row r="126" spans="1:5" x14ac:dyDescent="0.3">
      <c r="A126" s="10">
        <v>368</v>
      </c>
      <c r="B126" t="s">
        <v>322</v>
      </c>
      <c r="C126" s="13" t="s">
        <v>322</v>
      </c>
      <c r="D126" t="s">
        <v>323</v>
      </c>
    </row>
    <row r="127" spans="1:5" x14ac:dyDescent="0.3">
      <c r="A127" s="10">
        <v>369</v>
      </c>
      <c r="B127" t="s">
        <v>324</v>
      </c>
      <c r="C127" s="13" t="s">
        <v>324</v>
      </c>
      <c r="D127" t="s">
        <v>203</v>
      </c>
    </row>
    <row r="128" spans="1:5" x14ac:dyDescent="0.3">
      <c r="A128" s="10">
        <v>371</v>
      </c>
      <c r="B128" t="s">
        <v>325</v>
      </c>
      <c r="C128" s="13" t="s">
        <v>325</v>
      </c>
      <c r="D128" t="s">
        <v>203</v>
      </c>
    </row>
    <row r="129" spans="1:5" x14ac:dyDescent="0.3">
      <c r="A129" s="10">
        <v>372</v>
      </c>
      <c r="B129" t="s">
        <v>326</v>
      </c>
      <c r="C129" s="13" t="s">
        <v>326</v>
      </c>
      <c r="D129" t="s">
        <v>203</v>
      </c>
    </row>
    <row r="130" spans="1:5" x14ac:dyDescent="0.3">
      <c r="A130" s="10">
        <v>374</v>
      </c>
      <c r="B130" t="s">
        <v>598</v>
      </c>
      <c r="C130" s="13" t="s">
        <v>598</v>
      </c>
      <c r="D130" t="s">
        <v>203</v>
      </c>
      <c r="E130" t="s">
        <v>599</v>
      </c>
    </row>
    <row r="131" spans="1:5" x14ac:dyDescent="0.3">
      <c r="A131" s="10">
        <v>376</v>
      </c>
      <c r="B131" t="s">
        <v>601</v>
      </c>
      <c r="C131" s="13" t="s">
        <v>601</v>
      </c>
      <c r="D131" t="s">
        <v>203</v>
      </c>
    </row>
    <row r="132" spans="1:5" x14ac:dyDescent="0.3">
      <c r="A132" s="10">
        <v>377</v>
      </c>
      <c r="B132" t="s">
        <v>602</v>
      </c>
      <c r="C132" s="13" t="s">
        <v>602</v>
      </c>
      <c r="D132" t="s">
        <v>203</v>
      </c>
    </row>
    <row r="133" spans="1:5" x14ac:dyDescent="0.3">
      <c r="A133" s="10">
        <v>378</v>
      </c>
      <c r="B133" t="s">
        <v>603</v>
      </c>
      <c r="C133" s="13" t="s">
        <v>603</v>
      </c>
      <c r="D133" t="s">
        <v>203</v>
      </c>
    </row>
    <row r="134" spans="1:5" x14ac:dyDescent="0.3">
      <c r="A134" s="10">
        <v>379</v>
      </c>
      <c r="B134" t="s">
        <v>604</v>
      </c>
      <c r="C134" s="13" t="s">
        <v>604</v>
      </c>
      <c r="D134" t="s">
        <v>203</v>
      </c>
    </row>
    <row r="135" spans="1:5" x14ac:dyDescent="0.3">
      <c r="A135" s="10">
        <v>380</v>
      </c>
      <c r="B135" t="s">
        <v>605</v>
      </c>
      <c r="C135" s="13" t="s">
        <v>605</v>
      </c>
      <c r="D135" t="s">
        <v>203</v>
      </c>
      <c r="E135" t="s">
        <v>599</v>
      </c>
    </row>
    <row r="136" spans="1:5" x14ac:dyDescent="0.3">
      <c r="A136" s="10">
        <v>381</v>
      </c>
      <c r="B136" t="s">
        <v>607</v>
      </c>
      <c r="C136" s="13" t="s">
        <v>607</v>
      </c>
      <c r="D136" t="s">
        <v>203</v>
      </c>
    </row>
    <row r="137" spans="1:5" x14ac:dyDescent="0.3">
      <c r="A137" s="10">
        <v>334</v>
      </c>
      <c r="B137" t="s">
        <v>660</v>
      </c>
      <c r="C137" s="13" t="s">
        <v>660</v>
      </c>
    </row>
    <row r="138" spans="1:5" x14ac:dyDescent="0.3">
      <c r="A138" s="10">
        <v>335</v>
      </c>
      <c r="B138" t="s">
        <v>661</v>
      </c>
      <c r="C138" s="13" t="s">
        <v>661</v>
      </c>
    </row>
    <row r="139" spans="1:5" x14ac:dyDescent="0.3">
      <c r="A139" s="10">
        <v>336</v>
      </c>
      <c r="B139" t="s">
        <v>662</v>
      </c>
      <c r="C139" s="13" t="s">
        <v>662</v>
      </c>
      <c r="D139" t="s">
        <v>203</v>
      </c>
    </row>
    <row r="140" spans="1:5" x14ac:dyDescent="0.3">
      <c r="A140" s="10">
        <v>337</v>
      </c>
      <c r="B140" t="s">
        <v>663</v>
      </c>
      <c r="C140" s="13" t="s">
        <v>663</v>
      </c>
      <c r="D140" t="s">
        <v>203</v>
      </c>
    </row>
    <row r="141" spans="1:5" x14ac:dyDescent="0.3">
      <c r="A141" s="10">
        <v>338</v>
      </c>
      <c r="B141" t="s">
        <v>664</v>
      </c>
      <c r="C141" s="13" t="s">
        <v>664</v>
      </c>
      <c r="D141" t="s">
        <v>203</v>
      </c>
    </row>
    <row r="142" spans="1:5" x14ac:dyDescent="0.3">
      <c r="A142" s="10">
        <v>339</v>
      </c>
      <c r="B142" t="s">
        <v>665</v>
      </c>
      <c r="C142" s="13" t="s">
        <v>665</v>
      </c>
      <c r="D142" t="s">
        <v>203</v>
      </c>
    </row>
    <row r="143" spans="1:5" x14ac:dyDescent="0.3">
      <c r="A143" s="10">
        <v>340</v>
      </c>
      <c r="B143" t="s">
        <v>666</v>
      </c>
      <c r="C143" s="13" t="s">
        <v>666</v>
      </c>
      <c r="D143" t="s">
        <v>203</v>
      </c>
    </row>
    <row r="144" spans="1:5" x14ac:dyDescent="0.3">
      <c r="A144" s="10">
        <v>341</v>
      </c>
      <c r="B144" t="s">
        <v>667</v>
      </c>
      <c r="C144" s="13" t="s">
        <v>667</v>
      </c>
      <c r="D144" t="s">
        <v>203</v>
      </c>
    </row>
    <row r="145" spans="1:5" x14ac:dyDescent="0.3">
      <c r="A145" s="10">
        <v>342</v>
      </c>
      <c r="B145" t="s">
        <v>251</v>
      </c>
      <c r="C145" s="13" t="s">
        <v>251</v>
      </c>
      <c r="D145" t="s">
        <v>203</v>
      </c>
    </row>
    <row r="146" spans="1:5" x14ac:dyDescent="0.3">
      <c r="A146" s="10">
        <v>343</v>
      </c>
      <c r="B146" t="s">
        <v>668</v>
      </c>
      <c r="C146" s="13" t="s">
        <v>668</v>
      </c>
      <c r="D146" t="s">
        <v>203</v>
      </c>
    </row>
    <row r="147" spans="1:5" x14ac:dyDescent="0.3">
      <c r="A147" s="10">
        <v>344</v>
      </c>
      <c r="B147" t="s">
        <v>669</v>
      </c>
      <c r="C147" s="13" t="s">
        <v>669</v>
      </c>
      <c r="D147" t="s">
        <v>203</v>
      </c>
    </row>
    <row r="148" spans="1:5" x14ac:dyDescent="0.3">
      <c r="A148" s="10">
        <v>345</v>
      </c>
      <c r="B148" t="s">
        <v>670</v>
      </c>
      <c r="C148" s="13" t="s">
        <v>670</v>
      </c>
      <c r="D148" t="s">
        <v>203</v>
      </c>
    </row>
    <row r="149" spans="1:5" x14ac:dyDescent="0.3">
      <c r="A149" s="10">
        <v>346</v>
      </c>
      <c r="B149" t="s">
        <v>671</v>
      </c>
      <c r="C149" s="13" t="s">
        <v>671</v>
      </c>
      <c r="D149" t="s">
        <v>203</v>
      </c>
    </row>
    <row r="150" spans="1:5" x14ac:dyDescent="0.3">
      <c r="A150" s="10">
        <v>347</v>
      </c>
      <c r="B150" t="s">
        <v>672</v>
      </c>
      <c r="C150" s="13" t="s">
        <v>672</v>
      </c>
      <c r="D150" t="s">
        <v>203</v>
      </c>
    </row>
    <row r="151" spans="1:5" x14ac:dyDescent="0.3">
      <c r="A151" s="10">
        <v>348</v>
      </c>
      <c r="B151" t="s">
        <v>673</v>
      </c>
      <c r="C151" s="13" t="s">
        <v>673</v>
      </c>
      <c r="D151" t="s">
        <v>203</v>
      </c>
    </row>
    <row r="152" spans="1:5" x14ac:dyDescent="0.3">
      <c r="A152" s="10">
        <v>349</v>
      </c>
      <c r="B152" t="s">
        <v>674</v>
      </c>
      <c r="C152" s="13" t="s">
        <v>674</v>
      </c>
      <c r="D152" t="s">
        <v>203</v>
      </c>
    </row>
    <row r="153" spans="1:5" x14ac:dyDescent="0.3">
      <c r="A153" s="10">
        <v>350</v>
      </c>
      <c r="B153" t="s">
        <v>675</v>
      </c>
      <c r="C153" s="13" t="s">
        <v>675</v>
      </c>
      <c r="D153" t="s">
        <v>203</v>
      </c>
    </row>
    <row r="154" spans="1:5" x14ac:dyDescent="0.3">
      <c r="A154" s="10">
        <v>351</v>
      </c>
      <c r="B154" t="s">
        <v>676</v>
      </c>
      <c r="C154" s="13" t="s">
        <v>676</v>
      </c>
      <c r="D154" t="s">
        <v>203</v>
      </c>
    </row>
    <row r="155" spans="1:5" x14ac:dyDescent="0.3">
      <c r="A155" s="10">
        <v>352</v>
      </c>
      <c r="B155" t="s">
        <v>677</v>
      </c>
      <c r="C155" s="13" t="s">
        <v>677</v>
      </c>
      <c r="D155" t="s">
        <v>203</v>
      </c>
    </row>
    <row r="156" spans="1:5" x14ac:dyDescent="0.3">
      <c r="A156" s="10">
        <v>353</v>
      </c>
      <c r="B156" t="s">
        <v>678</v>
      </c>
      <c r="C156" s="13" t="s">
        <v>678</v>
      </c>
      <c r="D156" t="s">
        <v>203</v>
      </c>
    </row>
    <row r="157" spans="1:5" x14ac:dyDescent="0.3">
      <c r="A157" s="10">
        <v>354</v>
      </c>
      <c r="B157" t="s">
        <v>679</v>
      </c>
      <c r="C157" s="13" t="s">
        <v>679</v>
      </c>
      <c r="D157" t="s">
        <v>203</v>
      </c>
    </row>
    <row r="158" spans="1:5" x14ac:dyDescent="0.3">
      <c r="A158" s="10"/>
      <c r="B158" t="s">
        <v>680</v>
      </c>
      <c r="C158" s="13" t="s">
        <v>680</v>
      </c>
      <c r="D158" t="s">
        <v>658</v>
      </c>
      <c r="E158" t="s">
        <v>599</v>
      </c>
    </row>
    <row r="159" spans="1:5" x14ac:dyDescent="0.3">
      <c r="A159" s="10">
        <v>358</v>
      </c>
      <c r="B159" t="s">
        <v>681</v>
      </c>
      <c r="C159" s="13" t="s">
        <v>681</v>
      </c>
      <c r="D159" t="s">
        <v>203</v>
      </c>
      <c r="E159" t="s">
        <v>599</v>
      </c>
    </row>
    <row r="160" spans="1:5" x14ac:dyDescent="0.3">
      <c r="A160" s="10">
        <v>359</v>
      </c>
      <c r="B160" t="s">
        <v>682</v>
      </c>
      <c r="C160" s="13" t="s">
        <v>682</v>
      </c>
      <c r="D160" t="s">
        <v>203</v>
      </c>
    </row>
    <row r="161" spans="1:5" x14ac:dyDescent="0.3">
      <c r="A161" s="10">
        <v>360</v>
      </c>
      <c r="B161" t="s">
        <v>683</v>
      </c>
      <c r="C161" s="13" t="s">
        <v>683</v>
      </c>
      <c r="D161" t="s">
        <v>203</v>
      </c>
      <c r="E161" t="s">
        <v>599</v>
      </c>
    </row>
    <row r="162" spans="1:5" x14ac:dyDescent="0.3">
      <c r="A162" s="10">
        <v>361</v>
      </c>
      <c r="B162" t="s">
        <v>684</v>
      </c>
      <c r="C162" s="13" t="s">
        <v>684</v>
      </c>
      <c r="D162" t="s">
        <v>203</v>
      </c>
      <c r="E162" t="s">
        <v>599</v>
      </c>
    </row>
    <row r="163" spans="1:5" x14ac:dyDescent="0.3">
      <c r="A163" s="10">
        <v>362</v>
      </c>
      <c r="B163" t="s">
        <v>685</v>
      </c>
      <c r="C163" s="13" t="s">
        <v>685</v>
      </c>
      <c r="D163" t="s">
        <v>203</v>
      </c>
      <c r="E163" t="s">
        <v>599</v>
      </c>
    </row>
    <row r="164" spans="1:5" x14ac:dyDescent="0.3">
      <c r="A164" s="10">
        <v>363</v>
      </c>
      <c r="B164" t="s">
        <v>686</v>
      </c>
      <c r="C164" s="13" t="s">
        <v>686</v>
      </c>
      <c r="D164" t="s">
        <v>203</v>
      </c>
      <c r="E164" t="s">
        <v>599</v>
      </c>
    </row>
    <row r="165" spans="1:5" x14ac:dyDescent="0.3">
      <c r="A165" s="10">
        <v>364</v>
      </c>
      <c r="B165" t="s">
        <v>687</v>
      </c>
      <c r="C165" s="13" t="s">
        <v>687</v>
      </c>
      <c r="D165" t="s">
        <v>203</v>
      </c>
      <c r="E165" t="s">
        <v>599</v>
      </c>
    </row>
    <row r="166" spans="1:5" x14ac:dyDescent="0.3">
      <c r="A166" s="10">
        <v>365</v>
      </c>
      <c r="B166" t="s">
        <v>688</v>
      </c>
      <c r="C166" s="13" t="s">
        <v>688</v>
      </c>
      <c r="D166" t="s">
        <v>689</v>
      </c>
      <c r="E166" t="s">
        <v>599</v>
      </c>
    </row>
    <row r="167" spans="1:5" x14ac:dyDescent="0.3">
      <c r="A167" s="10">
        <v>366</v>
      </c>
      <c r="B167" t="s">
        <v>690</v>
      </c>
      <c r="C167" s="13" t="s">
        <v>690</v>
      </c>
      <c r="D167" t="s">
        <v>203</v>
      </c>
      <c r="E167" t="s">
        <v>599</v>
      </c>
    </row>
    <row r="168" spans="1:5" x14ac:dyDescent="0.3">
      <c r="A168" s="10">
        <v>367</v>
      </c>
      <c r="B168" t="s">
        <v>691</v>
      </c>
      <c r="C168" s="13" t="s">
        <v>691</v>
      </c>
      <c r="D168" t="s">
        <v>203</v>
      </c>
      <c r="E168" t="s">
        <v>599</v>
      </c>
    </row>
    <row r="169" spans="1:5" x14ac:dyDescent="0.3">
      <c r="A169" s="10">
        <v>368</v>
      </c>
      <c r="B169" t="s">
        <v>692</v>
      </c>
      <c r="C169" s="13" t="s">
        <v>692</v>
      </c>
      <c r="D169" t="s">
        <v>203</v>
      </c>
      <c r="E169" t="s">
        <v>599</v>
      </c>
    </row>
    <row r="170" spans="1:5" x14ac:dyDescent="0.3">
      <c r="A170" s="10">
        <v>369</v>
      </c>
      <c r="B170" t="s">
        <v>634</v>
      </c>
      <c r="C170" s="13" t="s">
        <v>634</v>
      </c>
      <c r="D170" t="s">
        <v>203</v>
      </c>
      <c r="E170" t="s">
        <v>599</v>
      </c>
    </row>
    <row r="171" spans="1:5" x14ac:dyDescent="0.3">
      <c r="A171" s="10">
        <v>370</v>
      </c>
      <c r="B171" t="s">
        <v>693</v>
      </c>
      <c r="C171" s="13" t="s">
        <v>693</v>
      </c>
      <c r="D171" t="s">
        <v>203</v>
      </c>
      <c r="E171" t="s">
        <v>599</v>
      </c>
    </row>
    <row r="172" spans="1:5" x14ac:dyDescent="0.3">
      <c r="A172" s="10">
        <v>371</v>
      </c>
      <c r="B172" t="s">
        <v>694</v>
      </c>
      <c r="C172" s="13" t="s">
        <v>694</v>
      </c>
      <c r="D172" t="s">
        <v>203</v>
      </c>
      <c r="E172" t="s">
        <v>599</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3.6640625" bestFit="1" customWidth="1"/>
    <col min="2" max="2" width="24" bestFit="1" customWidth="1"/>
  </cols>
  <sheetData>
    <row r="1" spans="1:2" x14ac:dyDescent="0.3">
      <c r="A1" s="1" t="s">
        <v>327</v>
      </c>
      <c r="B1" s="1" t="s">
        <v>13</v>
      </c>
    </row>
    <row r="2" spans="1:2" x14ac:dyDescent="0.3">
      <c r="A2" s="9">
        <v>0</v>
      </c>
      <c r="B2" s="13" t="s">
        <v>88</v>
      </c>
    </row>
    <row r="3" spans="1:2" x14ac:dyDescent="0.3">
      <c r="A3" s="9">
        <v>201</v>
      </c>
      <c r="B3" s="13" t="s">
        <v>328</v>
      </c>
    </row>
    <row r="4" spans="1:2" x14ac:dyDescent="0.3">
      <c r="A4" s="9">
        <v>202</v>
      </c>
      <c r="B4" s="13" t="s">
        <v>329</v>
      </c>
    </row>
    <row r="5" spans="1:2" x14ac:dyDescent="0.3">
      <c r="A5" s="9">
        <v>203</v>
      </c>
      <c r="B5" s="13" t="s">
        <v>330</v>
      </c>
    </row>
    <row r="6" spans="1:2" x14ac:dyDescent="0.3">
      <c r="A6" s="9">
        <v>204</v>
      </c>
      <c r="B6" s="13" t="s">
        <v>331</v>
      </c>
    </row>
    <row r="7" spans="1:2" x14ac:dyDescent="0.3">
      <c r="A7" s="9">
        <v>205</v>
      </c>
      <c r="B7" s="13" t="s">
        <v>332</v>
      </c>
    </row>
    <row r="8" spans="1:2" x14ac:dyDescent="0.3">
      <c r="A8" s="9">
        <v>206</v>
      </c>
      <c r="B8" s="13" t="s">
        <v>333</v>
      </c>
    </row>
    <row r="9" spans="1:2" x14ac:dyDescent="0.3">
      <c r="A9" s="9">
        <v>207</v>
      </c>
      <c r="B9" s="13" t="s">
        <v>334</v>
      </c>
    </row>
    <row r="10" spans="1:2" x14ac:dyDescent="0.3">
      <c r="A10" s="9">
        <v>208</v>
      </c>
      <c r="B10" s="13" t="s">
        <v>335</v>
      </c>
    </row>
    <row r="11" spans="1:2" x14ac:dyDescent="0.3">
      <c r="A11" s="9">
        <v>209</v>
      </c>
      <c r="B11" s="13" t="s">
        <v>336</v>
      </c>
    </row>
    <row r="12" spans="1:2" x14ac:dyDescent="0.3">
      <c r="A12" s="9">
        <v>210</v>
      </c>
      <c r="B12" s="13" t="s">
        <v>337</v>
      </c>
    </row>
    <row r="13" spans="1:2" x14ac:dyDescent="0.3">
      <c r="A13" s="9">
        <v>211</v>
      </c>
      <c r="B13" s="13" t="s">
        <v>338</v>
      </c>
    </row>
    <row r="14" spans="1:2" x14ac:dyDescent="0.3">
      <c r="A14" s="9">
        <v>212</v>
      </c>
      <c r="B14" s="13" t="s">
        <v>339</v>
      </c>
    </row>
    <row r="15" spans="1:2" x14ac:dyDescent="0.3">
      <c r="A15" s="9">
        <v>213</v>
      </c>
      <c r="B15" s="13" t="s">
        <v>340</v>
      </c>
    </row>
    <row r="16" spans="1:2" x14ac:dyDescent="0.3">
      <c r="A16" s="9">
        <v>214</v>
      </c>
      <c r="B16" s="13" t="s">
        <v>341</v>
      </c>
    </row>
    <row r="17" spans="1:2" x14ac:dyDescent="0.3">
      <c r="A17" s="9">
        <v>215</v>
      </c>
      <c r="B17" s="13" t="s">
        <v>342</v>
      </c>
    </row>
    <row r="18" spans="1:2" x14ac:dyDescent="0.3">
      <c r="A18" s="9">
        <v>216</v>
      </c>
      <c r="B18" s="13" t="s">
        <v>343</v>
      </c>
    </row>
    <row r="19" spans="1:2" x14ac:dyDescent="0.3">
      <c r="A19" s="9">
        <v>217</v>
      </c>
      <c r="B19" s="13" t="s">
        <v>344</v>
      </c>
    </row>
    <row r="20" spans="1:2" x14ac:dyDescent="0.3">
      <c r="A20" s="9">
        <v>218</v>
      </c>
      <c r="B20" s="13" t="s">
        <v>345</v>
      </c>
    </row>
    <row r="21" spans="1:2" x14ac:dyDescent="0.3">
      <c r="A21" s="9">
        <v>219</v>
      </c>
      <c r="B21" s="13" t="s">
        <v>346</v>
      </c>
    </row>
    <row r="22" spans="1:2" x14ac:dyDescent="0.3">
      <c r="A22" s="9">
        <v>220</v>
      </c>
      <c r="B22" s="13" t="s">
        <v>347</v>
      </c>
    </row>
    <row r="23" spans="1:2" x14ac:dyDescent="0.3">
      <c r="A23" s="9">
        <v>221</v>
      </c>
      <c r="B23" s="13" t="s">
        <v>348</v>
      </c>
    </row>
    <row r="24" spans="1:2" x14ac:dyDescent="0.3">
      <c r="A24" s="9">
        <v>222</v>
      </c>
      <c r="B24" s="13" t="s">
        <v>349</v>
      </c>
    </row>
    <row r="25" spans="1:2" x14ac:dyDescent="0.3">
      <c r="A25" s="9">
        <v>223</v>
      </c>
      <c r="B25" s="13" t="s">
        <v>350</v>
      </c>
    </row>
    <row r="26" spans="1:2" x14ac:dyDescent="0.3">
      <c r="A26" s="9">
        <v>224</v>
      </c>
      <c r="B26" s="13" t="s">
        <v>351</v>
      </c>
    </row>
    <row r="27" spans="1:2" x14ac:dyDescent="0.3">
      <c r="A27" s="9">
        <v>225</v>
      </c>
      <c r="B27" s="13" t="s">
        <v>352</v>
      </c>
    </row>
    <row r="28" spans="1:2" x14ac:dyDescent="0.3">
      <c r="A28" s="9">
        <v>226</v>
      </c>
      <c r="B28" s="13" t="s">
        <v>353</v>
      </c>
    </row>
    <row r="29" spans="1:2" x14ac:dyDescent="0.3">
      <c r="A29" s="9">
        <v>227</v>
      </c>
      <c r="B29" s="13" t="s">
        <v>354</v>
      </c>
    </row>
    <row r="30" spans="1:2" x14ac:dyDescent="0.3">
      <c r="A30" s="9">
        <v>228</v>
      </c>
      <c r="B30" s="13" t="s">
        <v>355</v>
      </c>
    </row>
    <row r="31" spans="1:2" x14ac:dyDescent="0.3">
      <c r="A31" s="9">
        <v>229</v>
      </c>
      <c r="B31" s="13" t="s">
        <v>356</v>
      </c>
    </row>
    <row r="32" spans="1:2" x14ac:dyDescent="0.3">
      <c r="A32" s="9">
        <v>230</v>
      </c>
      <c r="B32" s="13" t="s">
        <v>357</v>
      </c>
    </row>
    <row r="33" spans="1:2" x14ac:dyDescent="0.3">
      <c r="A33" s="9">
        <v>231</v>
      </c>
      <c r="B33" s="13" t="s">
        <v>358</v>
      </c>
    </row>
    <row r="34" spans="1:2" x14ac:dyDescent="0.3">
      <c r="A34" s="9">
        <v>232</v>
      </c>
      <c r="B34" s="13" t="s">
        <v>359</v>
      </c>
    </row>
    <row r="35" spans="1:2" x14ac:dyDescent="0.3">
      <c r="A35" s="9">
        <v>233</v>
      </c>
      <c r="B35" s="13" t="s">
        <v>360</v>
      </c>
    </row>
    <row r="36" spans="1:2" x14ac:dyDescent="0.3">
      <c r="A36" s="9">
        <v>234</v>
      </c>
      <c r="B36" s="13" t="s">
        <v>361</v>
      </c>
    </row>
    <row r="37" spans="1:2" x14ac:dyDescent="0.3">
      <c r="A37" s="9">
        <v>235</v>
      </c>
      <c r="B37" s="13" t="s">
        <v>362</v>
      </c>
    </row>
    <row r="38" spans="1:2" x14ac:dyDescent="0.3">
      <c r="A38" s="9">
        <v>236</v>
      </c>
      <c r="B38" s="13" t="s">
        <v>363</v>
      </c>
    </row>
    <row r="39" spans="1:2" x14ac:dyDescent="0.3">
      <c r="A39" s="9">
        <v>237</v>
      </c>
      <c r="B39" s="13" t="s">
        <v>364</v>
      </c>
    </row>
    <row r="40" spans="1:2" x14ac:dyDescent="0.3">
      <c r="A40" s="9">
        <v>238</v>
      </c>
      <c r="B40" s="13" t="s">
        <v>365</v>
      </c>
    </row>
    <row r="41" spans="1:2" x14ac:dyDescent="0.3">
      <c r="A41" s="9">
        <v>239</v>
      </c>
      <c r="B41" s="13" t="s">
        <v>366</v>
      </c>
    </row>
    <row r="42" spans="1:2" x14ac:dyDescent="0.3">
      <c r="A42" s="9">
        <v>240</v>
      </c>
      <c r="B42" s="13" t="s">
        <v>367</v>
      </c>
    </row>
    <row r="43" spans="1:2" x14ac:dyDescent="0.3">
      <c r="A43" s="9">
        <v>241</v>
      </c>
      <c r="B43" s="13" t="s">
        <v>368</v>
      </c>
    </row>
    <row r="44" spans="1:2" x14ac:dyDescent="0.3">
      <c r="A44" s="9">
        <v>242</v>
      </c>
      <c r="B44" s="13" t="s">
        <v>33</v>
      </c>
    </row>
    <row r="45" spans="1:2" x14ac:dyDescent="0.3">
      <c r="A45" s="9">
        <v>243</v>
      </c>
      <c r="B45" s="13" t="s">
        <v>369</v>
      </c>
    </row>
    <row r="46" spans="1:2" x14ac:dyDescent="0.3">
      <c r="A46" s="9">
        <v>244</v>
      </c>
      <c r="B46" s="13" t="s">
        <v>370</v>
      </c>
    </row>
    <row r="47" spans="1:2" x14ac:dyDescent="0.3">
      <c r="A47" s="9">
        <v>245</v>
      </c>
      <c r="B47" s="13" t="s">
        <v>371</v>
      </c>
    </row>
    <row r="48" spans="1:2" x14ac:dyDescent="0.3">
      <c r="A48" s="9">
        <v>246</v>
      </c>
      <c r="B48" s="13" t="s">
        <v>372</v>
      </c>
    </row>
    <row r="49" spans="1:2" x14ac:dyDescent="0.3">
      <c r="A49" s="9">
        <v>247</v>
      </c>
      <c r="B49" s="13" t="s">
        <v>373</v>
      </c>
    </row>
    <row r="50" spans="1:2" x14ac:dyDescent="0.3">
      <c r="A50" s="9">
        <v>248</v>
      </c>
      <c r="B50" s="13" t="s">
        <v>374</v>
      </c>
    </row>
    <row r="51" spans="1:2" x14ac:dyDescent="0.3">
      <c r="A51" s="9">
        <v>249</v>
      </c>
      <c r="B51" s="13" t="s">
        <v>375</v>
      </c>
    </row>
    <row r="52" spans="1:2" x14ac:dyDescent="0.3">
      <c r="A52" s="9">
        <v>250</v>
      </c>
      <c r="B52" s="13" t="s">
        <v>376</v>
      </c>
    </row>
    <row r="53" spans="1:2" x14ac:dyDescent="0.3">
      <c r="A53" s="9">
        <v>251</v>
      </c>
      <c r="B53" s="13" t="s">
        <v>377</v>
      </c>
    </row>
    <row r="54" spans="1:2" x14ac:dyDescent="0.3">
      <c r="A54" s="9">
        <v>252</v>
      </c>
      <c r="B54" s="13" t="s">
        <v>378</v>
      </c>
    </row>
    <row r="55" spans="1:2" x14ac:dyDescent="0.3">
      <c r="A55" s="9">
        <v>253</v>
      </c>
      <c r="B55" s="13" t="s">
        <v>379</v>
      </c>
    </row>
    <row r="56" spans="1:2" x14ac:dyDescent="0.3">
      <c r="A56" s="9">
        <v>254</v>
      </c>
      <c r="B56" s="13" t="s">
        <v>380</v>
      </c>
    </row>
    <row r="57" spans="1:2" x14ac:dyDescent="0.3">
      <c r="A57" s="9">
        <v>255</v>
      </c>
      <c r="B57" s="13" t="s">
        <v>381</v>
      </c>
    </row>
    <row r="58" spans="1:2" x14ac:dyDescent="0.3">
      <c r="A58" s="9">
        <v>256</v>
      </c>
      <c r="B58" s="13" t="s">
        <v>382</v>
      </c>
    </row>
    <row r="59" spans="1:2" x14ac:dyDescent="0.3">
      <c r="A59" s="9">
        <v>257</v>
      </c>
      <c r="B59" s="13" t="s">
        <v>383</v>
      </c>
    </row>
    <row r="60" spans="1:2" x14ac:dyDescent="0.3">
      <c r="A60" s="9">
        <v>258</v>
      </c>
      <c r="B60" s="13" t="s">
        <v>384</v>
      </c>
    </row>
    <row r="61" spans="1:2" x14ac:dyDescent="0.3">
      <c r="A61" s="9">
        <v>259</v>
      </c>
      <c r="B61" s="13" t="s">
        <v>385</v>
      </c>
    </row>
    <row r="62" spans="1:2" x14ac:dyDescent="0.3">
      <c r="A62" s="9">
        <v>260</v>
      </c>
      <c r="B62" s="13" t="s">
        <v>386</v>
      </c>
    </row>
    <row r="63" spans="1:2" x14ac:dyDescent="0.3">
      <c r="A63" s="9">
        <v>261</v>
      </c>
      <c r="B63" s="13" t="s">
        <v>387</v>
      </c>
    </row>
    <row r="64" spans="1:2" x14ac:dyDescent="0.3">
      <c r="A64" s="9">
        <v>700</v>
      </c>
      <c r="B64" s="13" t="s">
        <v>388</v>
      </c>
    </row>
    <row r="65" spans="1:2" x14ac:dyDescent="0.3">
      <c r="A65" s="9">
        <v>263</v>
      </c>
      <c r="B65" s="13" t="s">
        <v>389</v>
      </c>
    </row>
    <row r="66" spans="1:2" x14ac:dyDescent="0.3">
      <c r="A66" s="9">
        <v>264</v>
      </c>
      <c r="B66" s="13" t="s">
        <v>390</v>
      </c>
    </row>
    <row r="67" spans="1:2" x14ac:dyDescent="0.3">
      <c r="A67" s="9">
        <v>265</v>
      </c>
      <c r="B67" s="13" t="s">
        <v>391</v>
      </c>
    </row>
    <row r="68" spans="1:2" x14ac:dyDescent="0.3">
      <c r="A68" s="9">
        <v>266</v>
      </c>
      <c r="B68" s="13" t="s">
        <v>392</v>
      </c>
    </row>
    <row r="69" spans="1:2" x14ac:dyDescent="0.3">
      <c r="A69" s="9">
        <v>267</v>
      </c>
      <c r="B69" s="13" t="s">
        <v>393</v>
      </c>
    </row>
    <row r="70" spans="1:2" x14ac:dyDescent="0.3">
      <c r="A70" s="9">
        <v>268</v>
      </c>
      <c r="B70" s="13" t="s">
        <v>394</v>
      </c>
    </row>
    <row r="71" spans="1:2" x14ac:dyDescent="0.3">
      <c r="A71" s="9">
        <v>269</v>
      </c>
      <c r="B71" s="13" t="s">
        <v>395</v>
      </c>
    </row>
    <row r="72" spans="1:2" x14ac:dyDescent="0.3">
      <c r="A72" s="9">
        <v>270</v>
      </c>
      <c r="B72" s="13" t="s">
        <v>396</v>
      </c>
    </row>
    <row r="73" spans="1:2" x14ac:dyDescent="0.3">
      <c r="A73" s="9">
        <v>271</v>
      </c>
      <c r="B73" s="13" t="s">
        <v>397</v>
      </c>
    </row>
    <row r="74" spans="1:2" x14ac:dyDescent="0.3">
      <c r="A74" s="9">
        <v>272</v>
      </c>
      <c r="B74" s="13" t="s">
        <v>48</v>
      </c>
    </row>
    <row r="75" spans="1:2" x14ac:dyDescent="0.3">
      <c r="A75" s="9">
        <v>273</v>
      </c>
      <c r="B75" s="13" t="s">
        <v>119</v>
      </c>
    </row>
    <row r="76" spans="1:2" x14ac:dyDescent="0.3">
      <c r="A76" s="9">
        <v>274</v>
      </c>
      <c r="B76" s="13" t="s">
        <v>398</v>
      </c>
    </row>
    <row r="77" spans="1:2" x14ac:dyDescent="0.3">
      <c r="A77" s="9">
        <v>275</v>
      </c>
      <c r="B77" s="13" t="s">
        <v>33</v>
      </c>
    </row>
    <row r="78" spans="1:2" x14ac:dyDescent="0.3">
      <c r="A78" s="9">
        <v>276</v>
      </c>
      <c r="B78" s="13" t="s">
        <v>399</v>
      </c>
    </row>
    <row r="79" spans="1:2" x14ac:dyDescent="0.3">
      <c r="A79" s="9">
        <v>277</v>
      </c>
      <c r="B79" s="13" t="s">
        <v>400</v>
      </c>
    </row>
    <row r="80" spans="1:2" x14ac:dyDescent="0.3">
      <c r="A80" s="9">
        <v>278</v>
      </c>
      <c r="B80" s="13" t="s">
        <v>42</v>
      </c>
    </row>
    <row r="81" spans="1:2" x14ac:dyDescent="0.3">
      <c r="A81" s="9">
        <v>279</v>
      </c>
      <c r="B81" s="13" t="s">
        <v>401</v>
      </c>
    </row>
    <row r="82" spans="1:2" x14ac:dyDescent="0.3">
      <c r="A82" s="9">
        <v>280</v>
      </c>
      <c r="B82" s="13" t="s">
        <v>402</v>
      </c>
    </row>
    <row r="83" spans="1:2" x14ac:dyDescent="0.3">
      <c r="A83" s="9">
        <v>281</v>
      </c>
      <c r="B83" s="13" t="s">
        <v>403</v>
      </c>
    </row>
    <row r="84" spans="1:2" x14ac:dyDescent="0.3">
      <c r="A84" s="9">
        <v>282</v>
      </c>
      <c r="B84" s="13" t="s">
        <v>55</v>
      </c>
    </row>
    <row r="85" spans="1:2" x14ac:dyDescent="0.3">
      <c r="A85" s="9">
        <v>283</v>
      </c>
      <c r="B85" s="13" t="s">
        <v>61</v>
      </c>
    </row>
    <row r="86" spans="1:2" x14ac:dyDescent="0.3">
      <c r="A86" s="9">
        <v>284</v>
      </c>
      <c r="B86" s="13" t="s">
        <v>404</v>
      </c>
    </row>
    <row r="87" spans="1:2" x14ac:dyDescent="0.3">
      <c r="A87" s="9">
        <v>658</v>
      </c>
      <c r="B87" s="13" t="s">
        <v>405</v>
      </c>
    </row>
    <row r="88" spans="1:2" x14ac:dyDescent="0.3">
      <c r="A88" s="9">
        <v>285</v>
      </c>
      <c r="B88" s="13" t="s">
        <v>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topLeftCell="A2" workbookViewId="0">
      <selection activeCell="H109" sqref="H109"/>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406</v>
      </c>
      <c r="B1" s="1" t="s">
        <v>407</v>
      </c>
    </row>
    <row r="2" spans="1:2" x14ac:dyDescent="0.3">
      <c r="A2">
        <v>1318</v>
      </c>
      <c r="B2" s="13" t="s">
        <v>328</v>
      </c>
    </row>
    <row r="3" spans="1:2" x14ac:dyDescent="0.3">
      <c r="A3">
        <v>1328</v>
      </c>
      <c r="B3" s="13" t="s">
        <v>329</v>
      </c>
    </row>
    <row r="4" spans="1:2" x14ac:dyDescent="0.3">
      <c r="A4">
        <v>1337</v>
      </c>
      <c r="B4" s="13" t="s">
        <v>408</v>
      </c>
    </row>
    <row r="5" spans="1:2" x14ac:dyDescent="0.3">
      <c r="A5">
        <v>1345</v>
      </c>
      <c r="B5" s="13" t="s">
        <v>409</v>
      </c>
    </row>
    <row r="6" spans="1:2" x14ac:dyDescent="0.3">
      <c r="A6">
        <v>1346</v>
      </c>
      <c r="B6" s="13" t="s">
        <v>337</v>
      </c>
    </row>
    <row r="7" spans="1:2" x14ac:dyDescent="0.3">
      <c r="A7">
        <v>1347</v>
      </c>
      <c r="B7" s="13" t="s">
        <v>338</v>
      </c>
    </row>
    <row r="8" spans="1:2" x14ac:dyDescent="0.3">
      <c r="A8">
        <v>1348</v>
      </c>
      <c r="B8" s="13" t="s">
        <v>410</v>
      </c>
    </row>
    <row r="9" spans="1:2" x14ac:dyDescent="0.3">
      <c r="A9">
        <v>1349</v>
      </c>
      <c r="B9" s="13" t="s">
        <v>411</v>
      </c>
    </row>
    <row r="10" spans="1:2" x14ac:dyDescent="0.3">
      <c r="A10">
        <v>1350</v>
      </c>
      <c r="B10" s="13" t="s">
        <v>412</v>
      </c>
    </row>
    <row r="11" spans="1:2" x14ac:dyDescent="0.3">
      <c r="A11">
        <v>1351</v>
      </c>
      <c r="B11" s="13" t="s">
        <v>413</v>
      </c>
    </row>
    <row r="12" spans="1:2" x14ac:dyDescent="0.3">
      <c r="A12">
        <v>1352</v>
      </c>
      <c r="B12" s="13" t="s">
        <v>414</v>
      </c>
    </row>
    <row r="13" spans="1:2" x14ac:dyDescent="0.3">
      <c r="A13">
        <v>1353</v>
      </c>
      <c r="B13" s="13" t="s">
        <v>415</v>
      </c>
    </row>
    <row r="14" spans="1:2" x14ac:dyDescent="0.3">
      <c r="A14">
        <v>1354</v>
      </c>
      <c r="B14" s="13" t="s">
        <v>416</v>
      </c>
    </row>
    <row r="15" spans="1:2" x14ac:dyDescent="0.3">
      <c r="A15">
        <v>1355</v>
      </c>
      <c r="B15" s="13" t="s">
        <v>417</v>
      </c>
    </row>
    <row r="16" spans="1:2" x14ac:dyDescent="0.3">
      <c r="A16">
        <v>1356</v>
      </c>
      <c r="B16" s="13" t="s">
        <v>418</v>
      </c>
    </row>
    <row r="17" spans="1:2" x14ac:dyDescent="0.3">
      <c r="A17">
        <v>1357</v>
      </c>
      <c r="B17" s="13" t="s">
        <v>419</v>
      </c>
    </row>
    <row r="18" spans="1:2" x14ac:dyDescent="0.3">
      <c r="A18">
        <v>1358</v>
      </c>
      <c r="B18" s="13" t="s">
        <v>420</v>
      </c>
    </row>
    <row r="19" spans="1:2" x14ac:dyDescent="0.3">
      <c r="A19">
        <v>1359</v>
      </c>
      <c r="B19" s="13" t="s">
        <v>421</v>
      </c>
    </row>
    <row r="20" spans="1:2" x14ac:dyDescent="0.3">
      <c r="A20">
        <v>1360</v>
      </c>
      <c r="B20" s="13" t="s">
        <v>422</v>
      </c>
    </row>
    <row r="21" spans="1:2" x14ac:dyDescent="0.3">
      <c r="A21">
        <v>1361</v>
      </c>
      <c r="B21" s="13" t="s">
        <v>423</v>
      </c>
    </row>
    <row r="22" spans="1:2" x14ac:dyDescent="0.3">
      <c r="A22">
        <v>1362</v>
      </c>
      <c r="B22" s="13" t="s">
        <v>424</v>
      </c>
    </row>
    <row r="23" spans="1:2" x14ac:dyDescent="0.3">
      <c r="A23">
        <v>1363</v>
      </c>
      <c r="B23" s="13" t="s">
        <v>425</v>
      </c>
    </row>
    <row r="24" spans="1:2" x14ac:dyDescent="0.3">
      <c r="A24">
        <v>1364</v>
      </c>
      <c r="B24" s="13" t="s">
        <v>426</v>
      </c>
    </row>
    <row r="25" spans="1:2" x14ac:dyDescent="0.3">
      <c r="A25">
        <v>1365</v>
      </c>
      <c r="B25" s="13" t="s">
        <v>427</v>
      </c>
    </row>
    <row r="26" spans="1:2" x14ac:dyDescent="0.3">
      <c r="A26">
        <v>1366</v>
      </c>
      <c r="B26" s="13" t="s">
        <v>428</v>
      </c>
    </row>
    <row r="27" spans="1:2" x14ac:dyDescent="0.3">
      <c r="A27">
        <v>1367</v>
      </c>
      <c r="B27" s="13" t="s">
        <v>429</v>
      </c>
    </row>
    <row r="28" spans="1:2" x14ac:dyDescent="0.3">
      <c r="A28">
        <v>1368</v>
      </c>
      <c r="B28" s="13" t="s">
        <v>430</v>
      </c>
    </row>
    <row r="29" spans="1:2" x14ac:dyDescent="0.3">
      <c r="A29">
        <v>1369</v>
      </c>
      <c r="B29" s="13" t="s">
        <v>431</v>
      </c>
    </row>
    <row r="30" spans="1:2" x14ac:dyDescent="0.3">
      <c r="A30">
        <v>1370</v>
      </c>
      <c r="B30" s="13" t="s">
        <v>432</v>
      </c>
    </row>
    <row r="31" spans="1:2" x14ac:dyDescent="0.3">
      <c r="A31">
        <v>1371</v>
      </c>
      <c r="B31" s="13" t="s">
        <v>433</v>
      </c>
    </row>
    <row r="32" spans="1:2" x14ac:dyDescent="0.3">
      <c r="A32">
        <v>1372</v>
      </c>
      <c r="B32" s="13" t="s">
        <v>420</v>
      </c>
    </row>
    <row r="33" spans="1:2" x14ac:dyDescent="0.3">
      <c r="A33">
        <v>1373</v>
      </c>
      <c r="B33" s="13" t="s">
        <v>434</v>
      </c>
    </row>
    <row r="34" spans="1:2" x14ac:dyDescent="0.3">
      <c r="A34">
        <v>834</v>
      </c>
      <c r="B34" s="13" t="s">
        <v>34</v>
      </c>
    </row>
    <row r="35" spans="1:2" x14ac:dyDescent="0.3">
      <c r="A35">
        <v>373</v>
      </c>
      <c r="B35" s="13" t="s">
        <v>435</v>
      </c>
    </row>
    <row r="36" spans="1:2" x14ac:dyDescent="0.3">
      <c r="A36">
        <v>1338</v>
      </c>
      <c r="B36" s="13" t="s">
        <v>436</v>
      </c>
    </row>
    <row r="37" spans="1:2" x14ac:dyDescent="0.3">
      <c r="A37">
        <v>1377</v>
      </c>
      <c r="B37" s="13" t="s">
        <v>88</v>
      </c>
    </row>
    <row r="38" spans="1:2" x14ac:dyDescent="0.3">
      <c r="A38">
        <v>1378</v>
      </c>
      <c r="B38" s="13" t="s">
        <v>437</v>
      </c>
    </row>
    <row r="39" spans="1:2" x14ac:dyDescent="0.3">
      <c r="A39">
        <v>658</v>
      </c>
      <c r="B39" s="13" t="s">
        <v>405</v>
      </c>
    </row>
    <row r="40" spans="1:2" x14ac:dyDescent="0.3">
      <c r="A40">
        <v>991</v>
      </c>
      <c r="B40" s="13" t="s">
        <v>438</v>
      </c>
    </row>
    <row r="41" spans="1:2" x14ac:dyDescent="0.3">
      <c r="A41">
        <v>823</v>
      </c>
      <c r="B41" s="13" t="s">
        <v>439</v>
      </c>
    </row>
    <row r="42" spans="1:2" x14ac:dyDescent="0.3">
      <c r="A42">
        <v>1748</v>
      </c>
      <c r="B42" s="13" t="s">
        <v>440</v>
      </c>
    </row>
    <row r="43" spans="1:2" x14ac:dyDescent="0.3">
      <c r="A43">
        <v>1747</v>
      </c>
      <c r="B43" s="13" t="s">
        <v>49</v>
      </c>
    </row>
    <row r="44" spans="1:2" x14ac:dyDescent="0.3">
      <c r="A44">
        <v>1741</v>
      </c>
      <c r="B44" s="13" t="s">
        <v>120</v>
      </c>
    </row>
    <row r="45" spans="1:2" x14ac:dyDescent="0.3">
      <c r="A45">
        <v>1749</v>
      </c>
      <c r="B45" s="13" t="s">
        <v>56</v>
      </c>
    </row>
    <row r="46" spans="1:2" x14ac:dyDescent="0.3">
      <c r="A46">
        <v>343</v>
      </c>
      <c r="B46" s="13" t="s">
        <v>79</v>
      </c>
    </row>
    <row r="47" spans="1:2" x14ac:dyDescent="0.3">
      <c r="A47">
        <v>1750</v>
      </c>
      <c r="B47" s="13" t="s">
        <v>43</v>
      </c>
    </row>
    <row r="48" spans="1:2" x14ac:dyDescent="0.3">
      <c r="A48">
        <v>700</v>
      </c>
      <c r="B48" s="13" t="s">
        <v>388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B5"/>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1.44140625" bestFit="1" customWidth="1"/>
    <col min="2" max="2" width="11" bestFit="1" customWidth="1"/>
    <col min="4" max="4" width="51.6640625" customWidth="1"/>
  </cols>
  <sheetData>
    <row r="1" spans="1:2" x14ac:dyDescent="0.3">
      <c r="A1" s="1" t="s">
        <v>0</v>
      </c>
      <c r="B1" s="1" t="s">
        <v>17</v>
      </c>
    </row>
    <row r="2" spans="1:2" x14ac:dyDescent="0.3">
      <c r="A2">
        <v>1</v>
      </c>
      <c r="B2" s="9" t="s">
        <v>36</v>
      </c>
    </row>
    <row r="3" spans="1:2" x14ac:dyDescent="0.3">
      <c r="A3">
        <v>2</v>
      </c>
      <c r="B3" s="9" t="s">
        <v>441</v>
      </c>
    </row>
    <row r="4" spans="1:2" x14ac:dyDescent="0.3">
      <c r="A4">
        <v>3</v>
      </c>
      <c r="B4" s="9" t="s">
        <v>442</v>
      </c>
    </row>
    <row r="5" spans="1:2" x14ac:dyDescent="0.3">
      <c r="A5">
        <v>4</v>
      </c>
      <c r="B5" s="9" t="s">
        <v>443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49"/>
  <sheetViews>
    <sheetView tabSelected="1" zoomScaleNormal="100" workbookViewId="0">
      <pane ySplit="1" topLeftCell="A27" activePane="bottomLeft" state="frozen"/>
      <selection pane="bottomLeft" activeCell="Q27" sqref="Q27"/>
    </sheetView>
  </sheetViews>
  <sheetFormatPr defaultRowHeight="14.4" outlineLevelCol="1" x14ac:dyDescent="0.3"/>
  <cols>
    <col min="1" max="1" width="23.21875" customWidth="1"/>
    <col min="2" max="2" width="11.33203125" customWidth="1"/>
    <col min="3" max="3" width="23.33203125" customWidth="1"/>
    <col min="4" max="4" width="26.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30" t="s">
        <v>444</v>
      </c>
      <c r="B1" s="30" t="s">
        <v>445</v>
      </c>
      <c r="C1" s="31" t="s">
        <v>446</v>
      </c>
      <c r="D1" s="31" t="s">
        <v>447</v>
      </c>
      <c r="E1" s="31" t="s">
        <v>448</v>
      </c>
      <c r="F1" s="11" t="s">
        <v>449</v>
      </c>
      <c r="G1" s="11" t="s">
        <v>450</v>
      </c>
      <c r="H1" s="11" t="s">
        <v>451</v>
      </c>
      <c r="I1" s="11" t="s">
        <v>452</v>
      </c>
      <c r="J1" s="11" t="s">
        <v>453</v>
      </c>
      <c r="K1" s="4" t="s">
        <v>454</v>
      </c>
      <c r="L1" s="4" t="s">
        <v>455</v>
      </c>
      <c r="M1" s="4" t="s">
        <v>456</v>
      </c>
      <c r="N1" s="4" t="s">
        <v>457</v>
      </c>
      <c r="O1" s="4" t="s">
        <v>458</v>
      </c>
      <c r="P1" s="4" t="s">
        <v>459</v>
      </c>
      <c r="Q1" s="30" t="s">
        <v>460</v>
      </c>
    </row>
    <row r="2" spans="1:17" hidden="1" x14ac:dyDescent="0.3">
      <c r="A2" s="12" t="s">
        <v>461</v>
      </c>
      <c r="B2" s="10">
        <v>1</v>
      </c>
      <c r="C2" s="43" t="s">
        <v>0</v>
      </c>
      <c r="D2" s="21" t="s">
        <v>462</v>
      </c>
      <c r="E2" s="22" t="s">
        <v>463</v>
      </c>
      <c r="F2" s="23" t="s">
        <v>464</v>
      </c>
      <c r="G2" s="23" t="s">
        <v>30</v>
      </c>
      <c r="H2" s="24" t="s">
        <v>39</v>
      </c>
      <c r="I2" s="24" t="s">
        <v>39</v>
      </c>
      <c r="J2" s="24" t="s">
        <v>39</v>
      </c>
      <c r="K2" s="25" t="s">
        <v>203</v>
      </c>
      <c r="L2" s="25" t="s">
        <v>39</v>
      </c>
      <c r="M2" s="25" t="s">
        <v>465</v>
      </c>
      <c r="N2" s="25" t="s">
        <v>466</v>
      </c>
      <c r="O2" s="25" t="s">
        <v>466</v>
      </c>
      <c r="P2" s="25" t="s">
        <v>39</v>
      </c>
      <c r="Q2" s="26" t="s">
        <v>467</v>
      </c>
    </row>
    <row r="3" spans="1:17" hidden="1" x14ac:dyDescent="0.3">
      <c r="A3" s="12" t="s">
        <v>461</v>
      </c>
      <c r="B3" s="10">
        <v>2</v>
      </c>
      <c r="C3" s="43" t="s">
        <v>1</v>
      </c>
      <c r="D3" s="21" t="s">
        <v>468</v>
      </c>
      <c r="E3" s="22" t="s">
        <v>463</v>
      </c>
      <c r="F3" s="23" t="s">
        <v>464</v>
      </c>
      <c r="G3" s="23" t="s">
        <v>39</v>
      </c>
      <c r="H3" s="24" t="s">
        <v>30</v>
      </c>
      <c r="I3" s="24" t="s">
        <v>39</v>
      </c>
      <c r="J3" s="24" t="s">
        <v>39</v>
      </c>
      <c r="K3" s="25" t="s">
        <v>203</v>
      </c>
      <c r="L3" s="25" t="s">
        <v>39</v>
      </c>
      <c r="M3" s="25" t="s">
        <v>465</v>
      </c>
      <c r="N3" s="25" t="s">
        <v>466</v>
      </c>
      <c r="O3" s="25" t="s">
        <v>466</v>
      </c>
      <c r="P3" s="25" t="s">
        <v>39</v>
      </c>
      <c r="Q3" s="26" t="s">
        <v>469</v>
      </c>
    </row>
    <row r="4" spans="1:17" hidden="1" x14ac:dyDescent="0.3">
      <c r="A4" s="12" t="s">
        <v>461</v>
      </c>
      <c r="B4" s="10">
        <v>3</v>
      </c>
      <c r="C4" s="43" t="s">
        <v>2</v>
      </c>
      <c r="D4" s="21" t="s">
        <v>470</v>
      </c>
      <c r="E4" s="22" t="s">
        <v>471</v>
      </c>
      <c r="F4" s="23" t="s">
        <v>472</v>
      </c>
      <c r="G4" s="23" t="s">
        <v>39</v>
      </c>
      <c r="H4" s="24" t="s">
        <v>39</v>
      </c>
      <c r="I4" s="24" t="s">
        <v>39</v>
      </c>
      <c r="J4" s="24" t="s">
        <v>39</v>
      </c>
      <c r="K4" s="25" t="s">
        <v>473</v>
      </c>
      <c r="L4" s="25" t="s">
        <v>30</v>
      </c>
      <c r="M4" s="25" t="s">
        <v>474</v>
      </c>
      <c r="N4" s="25" t="s">
        <v>466</v>
      </c>
      <c r="O4" s="25" t="s">
        <v>466</v>
      </c>
      <c r="P4" s="25" t="s">
        <v>39</v>
      </c>
      <c r="Q4" s="26" t="s">
        <v>475</v>
      </c>
    </row>
    <row r="5" spans="1:17" ht="43.2" hidden="1" x14ac:dyDescent="0.3">
      <c r="A5" s="12" t="s">
        <v>461</v>
      </c>
      <c r="B5" s="10">
        <v>4</v>
      </c>
      <c r="C5" s="43" t="s">
        <v>3</v>
      </c>
      <c r="D5" s="21" t="s">
        <v>476</v>
      </c>
      <c r="E5" s="22" t="s">
        <v>463</v>
      </c>
      <c r="F5" s="23" t="s">
        <v>477</v>
      </c>
      <c r="G5" s="23" t="s">
        <v>39</v>
      </c>
      <c r="H5" s="24" t="s">
        <v>39</v>
      </c>
      <c r="I5" s="24" t="s">
        <v>30</v>
      </c>
      <c r="J5" s="24" t="s">
        <v>39</v>
      </c>
      <c r="K5" s="25" t="s">
        <v>203</v>
      </c>
      <c r="L5" s="25" t="s">
        <v>39</v>
      </c>
      <c r="M5" s="25" t="s">
        <v>465</v>
      </c>
      <c r="N5" s="25" t="s">
        <v>466</v>
      </c>
      <c r="O5" s="25" t="s">
        <v>466</v>
      </c>
      <c r="P5" s="25" t="s">
        <v>39</v>
      </c>
      <c r="Q5" s="26" t="s">
        <v>478</v>
      </c>
    </row>
    <row r="6" spans="1:17" ht="43.2" hidden="1" x14ac:dyDescent="0.3">
      <c r="A6" s="12" t="s">
        <v>461</v>
      </c>
      <c r="B6" s="10">
        <v>5</v>
      </c>
      <c r="C6" s="43" t="s">
        <v>4</v>
      </c>
      <c r="D6" s="21" t="s">
        <v>479</v>
      </c>
      <c r="E6" s="22" t="s">
        <v>463</v>
      </c>
      <c r="F6" s="23" t="s">
        <v>480</v>
      </c>
      <c r="G6" s="23" t="s">
        <v>39</v>
      </c>
      <c r="H6" s="24" t="s">
        <v>39</v>
      </c>
      <c r="I6" s="24" t="s">
        <v>39</v>
      </c>
      <c r="J6" s="24" t="s">
        <v>39</v>
      </c>
      <c r="K6" s="25" t="s">
        <v>203</v>
      </c>
      <c r="L6" s="25" t="s">
        <v>39</v>
      </c>
      <c r="M6" s="25" t="s">
        <v>465</v>
      </c>
      <c r="N6" s="25" t="s">
        <v>466</v>
      </c>
      <c r="O6" s="25" t="s">
        <v>466</v>
      </c>
      <c r="P6" s="25" t="s">
        <v>39</v>
      </c>
      <c r="Q6" s="26" t="s">
        <v>481</v>
      </c>
    </row>
    <row r="7" spans="1:17" hidden="1" x14ac:dyDescent="0.3">
      <c r="A7" s="12" t="s">
        <v>461</v>
      </c>
      <c r="B7" s="10">
        <v>6</v>
      </c>
      <c r="C7" s="43" t="s">
        <v>5</v>
      </c>
      <c r="D7" s="21" t="s">
        <v>482</v>
      </c>
      <c r="E7" s="22" t="s">
        <v>471</v>
      </c>
      <c r="F7" s="23" t="s">
        <v>483</v>
      </c>
      <c r="G7" s="23" t="s">
        <v>39</v>
      </c>
      <c r="H7" s="24" t="s">
        <v>39</v>
      </c>
      <c r="I7" s="24" t="s">
        <v>39</v>
      </c>
      <c r="J7" s="24" t="s">
        <v>39</v>
      </c>
      <c r="K7" s="25" t="s">
        <v>203</v>
      </c>
      <c r="L7" s="25" t="s">
        <v>39</v>
      </c>
      <c r="M7" s="25" t="s">
        <v>474</v>
      </c>
      <c r="N7" s="25" t="s">
        <v>484</v>
      </c>
      <c r="O7" s="25" t="s">
        <v>485</v>
      </c>
      <c r="P7" s="25" t="s">
        <v>30</v>
      </c>
      <c r="Q7" s="26" t="s">
        <v>486</v>
      </c>
    </row>
    <row r="8" spans="1:17" ht="28.8" hidden="1" x14ac:dyDescent="0.3">
      <c r="A8" s="12" t="s">
        <v>461</v>
      </c>
      <c r="B8" s="10">
        <v>7</v>
      </c>
      <c r="C8" s="43" t="s">
        <v>6</v>
      </c>
      <c r="D8" s="21" t="s">
        <v>487</v>
      </c>
      <c r="E8" s="22" t="s">
        <v>471</v>
      </c>
      <c r="F8" s="23" t="s">
        <v>480</v>
      </c>
      <c r="G8" s="23" t="s">
        <v>30</v>
      </c>
      <c r="H8" s="24" t="s">
        <v>39</v>
      </c>
      <c r="I8" s="24" t="s">
        <v>39</v>
      </c>
      <c r="J8" s="24" t="s">
        <v>39</v>
      </c>
      <c r="K8" s="25" t="s">
        <v>203</v>
      </c>
      <c r="L8" s="25" t="s">
        <v>39</v>
      </c>
      <c r="M8" s="25" t="s">
        <v>474</v>
      </c>
      <c r="N8" s="25" t="s">
        <v>466</v>
      </c>
      <c r="O8" s="25" t="s">
        <v>466</v>
      </c>
      <c r="P8" s="25" t="s">
        <v>39</v>
      </c>
      <c r="Q8" s="26" t="s">
        <v>488</v>
      </c>
    </row>
    <row r="9" spans="1:17" ht="28.8" hidden="1" x14ac:dyDescent="0.3">
      <c r="A9" s="12" t="s">
        <v>461</v>
      </c>
      <c r="B9" s="10">
        <v>8</v>
      </c>
      <c r="C9" s="43" t="s">
        <v>7</v>
      </c>
      <c r="D9" s="21" t="s">
        <v>489</v>
      </c>
      <c r="E9" s="22" t="s">
        <v>463</v>
      </c>
      <c r="F9" s="23" t="s">
        <v>480</v>
      </c>
      <c r="G9" s="23" t="s">
        <v>39</v>
      </c>
      <c r="H9" s="24" t="s">
        <v>39</v>
      </c>
      <c r="I9" s="24" t="s">
        <v>39</v>
      </c>
      <c r="J9" s="24" t="s">
        <v>39</v>
      </c>
      <c r="K9" s="25" t="s">
        <v>203</v>
      </c>
      <c r="L9" s="25" t="s">
        <v>39</v>
      </c>
      <c r="M9" s="25" t="s">
        <v>465</v>
      </c>
      <c r="N9" s="25" t="s">
        <v>466</v>
      </c>
      <c r="O9" s="25" t="s">
        <v>466</v>
      </c>
      <c r="P9" s="25" t="s">
        <v>39</v>
      </c>
      <c r="Q9" s="26" t="s">
        <v>490</v>
      </c>
    </row>
    <row r="10" spans="1:17" ht="28.8" hidden="1" x14ac:dyDescent="0.3">
      <c r="A10" s="12" t="s">
        <v>461</v>
      </c>
      <c r="B10" s="10">
        <v>9</v>
      </c>
      <c r="C10" s="43" t="s">
        <v>8</v>
      </c>
      <c r="D10" s="21" t="s">
        <v>491</v>
      </c>
      <c r="E10" s="22" t="s">
        <v>471</v>
      </c>
      <c r="F10" s="23" t="s">
        <v>492</v>
      </c>
      <c r="G10" s="23" t="s">
        <v>30</v>
      </c>
      <c r="H10" s="24" t="s">
        <v>39</v>
      </c>
      <c r="I10" s="24" t="s">
        <v>30</v>
      </c>
      <c r="J10" s="24" t="s">
        <v>39</v>
      </c>
      <c r="K10" s="25" t="s">
        <v>203</v>
      </c>
      <c r="L10" s="25" t="s">
        <v>39</v>
      </c>
      <c r="M10" s="25" t="s">
        <v>493</v>
      </c>
      <c r="N10" s="25" t="s">
        <v>466</v>
      </c>
      <c r="O10" s="25" t="s">
        <v>466</v>
      </c>
      <c r="P10" s="25" t="s">
        <v>39</v>
      </c>
      <c r="Q10" s="26" t="s">
        <v>494</v>
      </c>
    </row>
    <row r="11" spans="1:17" ht="28.8" hidden="1" x14ac:dyDescent="0.3">
      <c r="A11" s="12" t="s">
        <v>461</v>
      </c>
      <c r="B11" s="10">
        <v>10</v>
      </c>
      <c r="C11" s="43" t="s">
        <v>9</v>
      </c>
      <c r="D11" s="21" t="s">
        <v>495</v>
      </c>
      <c r="E11" s="22" t="s">
        <v>471</v>
      </c>
      <c r="F11" s="27" t="s">
        <v>496</v>
      </c>
      <c r="G11" s="23" t="s">
        <v>39</v>
      </c>
      <c r="H11" s="24" t="s">
        <v>39</v>
      </c>
      <c r="I11" s="24" t="s">
        <v>39</v>
      </c>
      <c r="J11" s="24" t="s">
        <v>39</v>
      </c>
      <c r="K11" s="25" t="s">
        <v>203</v>
      </c>
      <c r="L11" s="25" t="s">
        <v>30</v>
      </c>
      <c r="M11" s="25" t="s">
        <v>474</v>
      </c>
      <c r="N11" s="25" t="s">
        <v>466</v>
      </c>
      <c r="O11" s="25" t="s">
        <v>466</v>
      </c>
      <c r="P11" s="25" t="s">
        <v>39</v>
      </c>
      <c r="Q11" s="26" t="s">
        <v>497</v>
      </c>
    </row>
    <row r="12" spans="1:17" ht="28.8" hidden="1" x14ac:dyDescent="0.3">
      <c r="A12" s="12" t="s">
        <v>461</v>
      </c>
      <c r="B12" s="10">
        <v>11</v>
      </c>
      <c r="C12" s="43" t="s">
        <v>10</v>
      </c>
      <c r="D12" s="21" t="s">
        <v>498</v>
      </c>
      <c r="E12" s="22" t="s">
        <v>471</v>
      </c>
      <c r="F12" s="23" t="s">
        <v>499</v>
      </c>
      <c r="G12" s="23" t="s">
        <v>30</v>
      </c>
      <c r="H12" s="24" t="s">
        <v>39</v>
      </c>
      <c r="I12" s="24" t="s">
        <v>30</v>
      </c>
      <c r="J12" s="24" t="s">
        <v>39</v>
      </c>
      <c r="K12" s="25" t="s">
        <v>203</v>
      </c>
      <c r="L12" s="25" t="s">
        <v>39</v>
      </c>
      <c r="M12" s="25" t="s">
        <v>474</v>
      </c>
      <c r="N12" s="25" t="s">
        <v>466</v>
      </c>
      <c r="O12" s="25" t="s">
        <v>485</v>
      </c>
      <c r="P12" s="25" t="s">
        <v>39</v>
      </c>
      <c r="Q12" s="26" t="s">
        <v>500</v>
      </c>
    </row>
    <row r="13" spans="1:17" hidden="1" x14ac:dyDescent="0.3">
      <c r="A13" s="12" t="s">
        <v>461</v>
      </c>
      <c r="B13" s="10">
        <v>12</v>
      </c>
      <c r="C13" s="43" t="s">
        <v>11</v>
      </c>
      <c r="D13" s="21" t="s">
        <v>501</v>
      </c>
      <c r="E13" s="22" t="s">
        <v>471</v>
      </c>
      <c r="F13" s="23" t="s">
        <v>502</v>
      </c>
      <c r="G13" s="23" t="s">
        <v>30</v>
      </c>
      <c r="H13" s="24" t="s">
        <v>39</v>
      </c>
      <c r="I13" s="24" t="s">
        <v>39</v>
      </c>
      <c r="J13" s="24" t="s">
        <v>39</v>
      </c>
      <c r="K13" s="25" t="s">
        <v>203</v>
      </c>
      <c r="L13" s="25" t="s">
        <v>39</v>
      </c>
      <c r="M13" s="25" t="s">
        <v>474</v>
      </c>
      <c r="N13" s="25" t="s">
        <v>484</v>
      </c>
      <c r="O13" s="25" t="s">
        <v>485</v>
      </c>
      <c r="P13" s="25" t="s">
        <v>30</v>
      </c>
      <c r="Q13" s="26" t="s">
        <v>503</v>
      </c>
    </row>
    <row r="14" spans="1:17" ht="28.8" hidden="1" x14ac:dyDescent="0.3">
      <c r="A14" s="12" t="s">
        <v>461</v>
      </c>
      <c r="B14" s="10">
        <v>13</v>
      </c>
      <c r="C14" s="43" t="s">
        <v>12</v>
      </c>
      <c r="D14" s="21" t="s">
        <v>504</v>
      </c>
      <c r="E14" s="22" t="s">
        <v>471</v>
      </c>
      <c r="F14" s="23" t="s">
        <v>505</v>
      </c>
      <c r="G14" s="23" t="s">
        <v>39</v>
      </c>
      <c r="H14" s="24" t="s">
        <v>39</v>
      </c>
      <c r="I14" s="24" t="s">
        <v>39</v>
      </c>
      <c r="J14" s="24" t="s">
        <v>39</v>
      </c>
      <c r="K14" s="25" t="s">
        <v>203</v>
      </c>
      <c r="L14" s="25" t="s">
        <v>39</v>
      </c>
      <c r="M14" s="25" t="s">
        <v>474</v>
      </c>
      <c r="N14" s="25" t="s">
        <v>484</v>
      </c>
      <c r="O14" s="25" t="s">
        <v>485</v>
      </c>
      <c r="P14" s="25" t="s">
        <v>30</v>
      </c>
      <c r="Q14" s="26" t="s">
        <v>506</v>
      </c>
    </row>
    <row r="15" spans="1:17" hidden="1" x14ac:dyDescent="0.3">
      <c r="A15" s="12" t="s">
        <v>461</v>
      </c>
      <c r="B15" s="10">
        <v>14</v>
      </c>
      <c r="C15" s="43" t="s">
        <v>13</v>
      </c>
      <c r="D15" s="21" t="s">
        <v>507</v>
      </c>
      <c r="E15" s="22" t="s">
        <v>471</v>
      </c>
      <c r="F15" s="23" t="s">
        <v>508</v>
      </c>
      <c r="G15" s="23" t="s">
        <v>39</v>
      </c>
      <c r="H15" s="24" t="s">
        <v>39</v>
      </c>
      <c r="I15" s="24" t="s">
        <v>39</v>
      </c>
      <c r="J15" s="24" t="s">
        <v>39</v>
      </c>
      <c r="K15" s="25" t="s">
        <v>509</v>
      </c>
      <c r="L15" s="25" t="s">
        <v>30</v>
      </c>
      <c r="M15" s="25" t="s">
        <v>474</v>
      </c>
      <c r="N15" s="25" t="s">
        <v>466</v>
      </c>
      <c r="O15" s="25" t="s">
        <v>466</v>
      </c>
      <c r="P15" s="25" t="s">
        <v>39</v>
      </c>
      <c r="Q15" s="26" t="s">
        <v>510</v>
      </c>
    </row>
    <row r="16" spans="1:17" hidden="1" x14ac:dyDescent="0.3">
      <c r="A16" s="12" t="s">
        <v>461</v>
      </c>
      <c r="B16" s="10">
        <v>15</v>
      </c>
      <c r="C16" s="43" t="s">
        <v>14</v>
      </c>
      <c r="D16" s="21" t="s">
        <v>511</v>
      </c>
      <c r="E16" s="22" t="s">
        <v>471</v>
      </c>
      <c r="F16" s="23" t="s">
        <v>508</v>
      </c>
      <c r="G16" s="23" t="s">
        <v>39</v>
      </c>
      <c r="H16" s="24" t="s">
        <v>39</v>
      </c>
      <c r="I16" s="24" t="s">
        <v>39</v>
      </c>
      <c r="J16" s="24" t="s">
        <v>39</v>
      </c>
      <c r="K16" s="25" t="s">
        <v>512</v>
      </c>
      <c r="L16" s="25" t="s">
        <v>30</v>
      </c>
      <c r="M16" s="25" t="s">
        <v>474</v>
      </c>
      <c r="N16" s="25" t="s">
        <v>466</v>
      </c>
      <c r="O16" s="25" t="s">
        <v>466</v>
      </c>
      <c r="P16" s="25" t="s">
        <v>39</v>
      </c>
      <c r="Q16" s="26" t="s">
        <v>513</v>
      </c>
    </row>
    <row r="17" spans="1:17" hidden="1" x14ac:dyDescent="0.3">
      <c r="A17" s="12" t="s">
        <v>461</v>
      </c>
      <c r="B17" s="10">
        <v>16</v>
      </c>
      <c r="C17" s="43" t="s">
        <v>15</v>
      </c>
      <c r="D17" s="21" t="s">
        <v>514</v>
      </c>
      <c r="E17" s="22" t="s">
        <v>471</v>
      </c>
      <c r="F17" s="23" t="s">
        <v>508</v>
      </c>
      <c r="G17" s="23" t="s">
        <v>39</v>
      </c>
      <c r="H17" s="24" t="s">
        <v>39</v>
      </c>
      <c r="I17" s="24" t="s">
        <v>39</v>
      </c>
      <c r="J17" s="24" t="s">
        <v>39</v>
      </c>
      <c r="K17" s="25" t="s">
        <v>203</v>
      </c>
      <c r="L17" s="25" t="s">
        <v>39</v>
      </c>
      <c r="M17" s="25" t="s">
        <v>474</v>
      </c>
      <c r="N17" s="25" t="s">
        <v>466</v>
      </c>
      <c r="O17" s="25" t="s">
        <v>466</v>
      </c>
      <c r="P17" s="25" t="s">
        <v>39</v>
      </c>
      <c r="Q17" s="26" t="s">
        <v>515</v>
      </c>
    </row>
    <row r="18" spans="1:17" hidden="1" x14ac:dyDescent="0.3">
      <c r="A18" s="12" t="s">
        <v>461</v>
      </c>
      <c r="B18" s="10">
        <v>17</v>
      </c>
      <c r="C18" s="43" t="s">
        <v>16</v>
      </c>
      <c r="D18" s="21" t="s">
        <v>516</v>
      </c>
      <c r="E18" s="22" t="s">
        <v>471</v>
      </c>
      <c r="F18" s="23" t="s">
        <v>517</v>
      </c>
      <c r="G18" s="23" t="s">
        <v>30</v>
      </c>
      <c r="H18" s="24" t="s">
        <v>39</v>
      </c>
      <c r="I18" s="24" t="s">
        <v>39</v>
      </c>
      <c r="J18" s="24" t="s">
        <v>39</v>
      </c>
      <c r="K18" s="25" t="s">
        <v>203</v>
      </c>
      <c r="L18" s="25" t="s">
        <v>39</v>
      </c>
      <c r="M18" s="25" t="s">
        <v>474</v>
      </c>
      <c r="N18" s="25" t="s">
        <v>466</v>
      </c>
      <c r="O18" s="25" t="s">
        <v>466</v>
      </c>
      <c r="P18" s="25" t="s">
        <v>39</v>
      </c>
      <c r="Q18" s="26" t="s">
        <v>518</v>
      </c>
    </row>
    <row r="19" spans="1:17" hidden="1" x14ac:dyDescent="0.3">
      <c r="A19" s="12" t="s">
        <v>461</v>
      </c>
      <c r="B19" s="10">
        <v>18</v>
      </c>
      <c r="C19" s="43" t="s">
        <v>17</v>
      </c>
      <c r="D19" s="21" t="s">
        <v>519</v>
      </c>
      <c r="E19" s="22" t="s">
        <v>471</v>
      </c>
      <c r="F19" s="23" t="s">
        <v>520</v>
      </c>
      <c r="G19" s="23" t="s">
        <v>39</v>
      </c>
      <c r="H19" s="24" t="s">
        <v>39</v>
      </c>
      <c r="I19" s="24" t="s">
        <v>39</v>
      </c>
      <c r="J19" s="24" t="s">
        <v>39</v>
      </c>
      <c r="K19" s="25" t="s">
        <v>521</v>
      </c>
      <c r="L19" s="25" t="s">
        <v>30</v>
      </c>
      <c r="M19" s="25" t="s">
        <v>474</v>
      </c>
      <c r="N19" s="25" t="s">
        <v>466</v>
      </c>
      <c r="O19" s="25" t="s">
        <v>466</v>
      </c>
      <c r="P19" s="25" t="s">
        <v>39</v>
      </c>
      <c r="Q19" s="26" t="s">
        <v>522</v>
      </c>
    </row>
    <row r="20" spans="1:17" hidden="1" x14ac:dyDescent="0.3">
      <c r="A20" s="12" t="s">
        <v>461</v>
      </c>
      <c r="B20" s="10">
        <v>19</v>
      </c>
      <c r="C20" s="43" t="s">
        <v>18</v>
      </c>
      <c r="D20" s="21" t="s">
        <v>523</v>
      </c>
      <c r="E20" s="22" t="s">
        <v>463</v>
      </c>
      <c r="F20" s="23" t="s">
        <v>480</v>
      </c>
      <c r="G20" s="23" t="s">
        <v>39</v>
      </c>
      <c r="H20" s="24" t="s">
        <v>39</v>
      </c>
      <c r="I20" s="24" t="s">
        <v>39</v>
      </c>
      <c r="J20" s="24" t="s">
        <v>39</v>
      </c>
      <c r="K20" s="25" t="s">
        <v>203</v>
      </c>
      <c r="L20" s="25" t="s">
        <v>39</v>
      </c>
      <c r="M20" s="25" t="s">
        <v>465</v>
      </c>
      <c r="N20" s="25" t="s">
        <v>466</v>
      </c>
      <c r="O20" s="25" t="s">
        <v>466</v>
      </c>
      <c r="P20" s="25" t="s">
        <v>39</v>
      </c>
      <c r="Q20" s="26" t="s">
        <v>524</v>
      </c>
    </row>
    <row r="21" spans="1:17" hidden="1" x14ac:dyDescent="0.3">
      <c r="A21" s="12" t="s">
        <v>461</v>
      </c>
      <c r="B21" s="10">
        <v>20</v>
      </c>
      <c r="C21" s="43" t="s">
        <v>19</v>
      </c>
      <c r="D21" s="21" t="s">
        <v>525</v>
      </c>
      <c r="E21" s="22" t="s">
        <v>463</v>
      </c>
      <c r="F21" s="23" t="s">
        <v>480</v>
      </c>
      <c r="G21" s="23" t="s">
        <v>39</v>
      </c>
      <c r="H21" s="24" t="s">
        <v>39</v>
      </c>
      <c r="I21" s="24" t="s">
        <v>39</v>
      </c>
      <c r="J21" s="24" t="s">
        <v>39</v>
      </c>
      <c r="K21" s="25" t="s">
        <v>203</v>
      </c>
      <c r="L21" s="25" t="s">
        <v>39</v>
      </c>
      <c r="M21" s="25" t="s">
        <v>465</v>
      </c>
      <c r="N21" s="25" t="s">
        <v>466</v>
      </c>
      <c r="O21" s="25" t="s">
        <v>466</v>
      </c>
      <c r="P21" s="25" t="s">
        <v>39</v>
      </c>
      <c r="Q21" s="26" t="s">
        <v>526</v>
      </c>
    </row>
    <row r="22" spans="1:17" hidden="1" x14ac:dyDescent="0.3">
      <c r="A22" s="12" t="s">
        <v>461</v>
      </c>
      <c r="B22" s="10">
        <v>21</v>
      </c>
      <c r="C22" s="43" t="s">
        <v>20</v>
      </c>
      <c r="D22" s="21" t="s">
        <v>527</v>
      </c>
      <c r="E22" s="22" t="s">
        <v>463</v>
      </c>
      <c r="F22" s="23" t="s">
        <v>480</v>
      </c>
      <c r="G22" s="23" t="s">
        <v>39</v>
      </c>
      <c r="H22" s="24" t="s">
        <v>39</v>
      </c>
      <c r="I22" s="24" t="s">
        <v>30</v>
      </c>
      <c r="J22" s="24" t="s">
        <v>30</v>
      </c>
      <c r="K22" s="25" t="s">
        <v>203</v>
      </c>
      <c r="L22" s="25" t="s">
        <v>39</v>
      </c>
      <c r="M22" s="25" t="s">
        <v>465</v>
      </c>
      <c r="N22" s="25" t="s">
        <v>466</v>
      </c>
      <c r="O22" s="25" t="s">
        <v>466</v>
      </c>
      <c r="P22" s="25" t="s">
        <v>39</v>
      </c>
      <c r="Q22" s="26" t="s">
        <v>528</v>
      </c>
    </row>
    <row r="23" spans="1:17" hidden="1" x14ac:dyDescent="0.3">
      <c r="A23" s="12" t="s">
        <v>461</v>
      </c>
      <c r="B23" s="10">
        <v>22</v>
      </c>
      <c r="C23" s="43" t="s">
        <v>21</v>
      </c>
      <c r="D23" s="21" t="s">
        <v>529</v>
      </c>
      <c r="E23" s="22" t="s">
        <v>463</v>
      </c>
      <c r="F23" s="23" t="s">
        <v>530</v>
      </c>
      <c r="G23" s="23" t="s">
        <v>39</v>
      </c>
      <c r="H23" s="24" t="s">
        <v>39</v>
      </c>
      <c r="I23" s="24" t="s">
        <v>39</v>
      </c>
      <c r="J23" s="24" t="s">
        <v>39</v>
      </c>
      <c r="K23" s="25" t="s">
        <v>203</v>
      </c>
      <c r="L23" s="25" t="s">
        <v>39</v>
      </c>
      <c r="M23" s="25" t="s">
        <v>465</v>
      </c>
      <c r="N23" s="25" t="s">
        <v>466</v>
      </c>
      <c r="O23" s="25" t="s">
        <v>466</v>
      </c>
      <c r="P23" s="25" t="s">
        <v>39</v>
      </c>
      <c r="Q23" s="26" t="s">
        <v>531</v>
      </c>
    </row>
    <row r="24" spans="1:17" hidden="1" x14ac:dyDescent="0.3">
      <c r="A24" s="12" t="s">
        <v>461</v>
      </c>
      <c r="B24" s="10">
        <v>23</v>
      </c>
      <c r="C24" s="43" t="s">
        <v>22</v>
      </c>
      <c r="D24" s="21" t="s">
        <v>697</v>
      </c>
      <c r="E24" s="22" t="s">
        <v>532</v>
      </c>
      <c r="F24" s="23" t="s">
        <v>536</v>
      </c>
      <c r="G24" s="23" t="s">
        <v>39</v>
      </c>
      <c r="H24" s="24" t="s">
        <v>39</v>
      </c>
      <c r="I24" s="24" t="s">
        <v>39</v>
      </c>
      <c r="J24" s="24" t="s">
        <v>39</v>
      </c>
      <c r="K24" s="25" t="s">
        <v>203</v>
      </c>
      <c r="L24" s="25" t="s">
        <v>39</v>
      </c>
      <c r="M24" s="25" t="s">
        <v>465</v>
      </c>
      <c r="N24" s="25" t="s">
        <v>533</v>
      </c>
      <c r="O24" s="25" t="s">
        <v>534</v>
      </c>
      <c r="P24" s="25" t="s">
        <v>39</v>
      </c>
      <c r="Q24" s="26" t="s">
        <v>535</v>
      </c>
    </row>
    <row r="25" spans="1:17" ht="72" hidden="1" x14ac:dyDescent="0.3">
      <c r="A25" s="12" t="s">
        <v>461</v>
      </c>
      <c r="B25" s="10">
        <v>24</v>
      </c>
      <c r="C25" s="43" t="s">
        <v>611</v>
      </c>
      <c r="D25" s="21" t="s">
        <v>696</v>
      </c>
      <c r="E25" s="22" t="s">
        <v>532</v>
      </c>
      <c r="F25" s="23" t="s">
        <v>617</v>
      </c>
      <c r="G25" s="23" t="s">
        <v>39</v>
      </c>
      <c r="H25" s="24" t="s">
        <v>39</v>
      </c>
      <c r="I25" s="24" t="s">
        <v>39</v>
      </c>
      <c r="J25" s="24" t="s">
        <v>39</v>
      </c>
      <c r="K25" s="25" t="s">
        <v>203</v>
      </c>
      <c r="L25" s="25" t="s">
        <v>39</v>
      </c>
      <c r="M25" s="25" t="s">
        <v>465</v>
      </c>
      <c r="N25" s="25" t="s">
        <v>533</v>
      </c>
      <c r="O25" s="25" t="s">
        <v>534</v>
      </c>
      <c r="P25" s="25" t="s">
        <v>39</v>
      </c>
      <c r="Q25" s="26" t="s">
        <v>618</v>
      </c>
    </row>
    <row r="26" spans="1:17" hidden="1" x14ac:dyDescent="0.3">
      <c r="A26" s="12" t="s">
        <v>461</v>
      </c>
      <c r="B26" s="10">
        <v>25</v>
      </c>
      <c r="C26" s="43" t="s">
        <v>23</v>
      </c>
      <c r="D26" s="21" t="s">
        <v>695</v>
      </c>
      <c r="E26" s="22" t="s">
        <v>532</v>
      </c>
      <c r="F26" s="23" t="s">
        <v>567</v>
      </c>
      <c r="G26" s="23" t="s">
        <v>39</v>
      </c>
      <c r="H26" s="24" t="s">
        <v>39</v>
      </c>
      <c r="I26" s="24" t="s">
        <v>30</v>
      </c>
      <c r="J26" s="24" t="s">
        <v>39</v>
      </c>
      <c r="K26" s="25" t="s">
        <v>203</v>
      </c>
      <c r="L26" s="25" t="s">
        <v>39</v>
      </c>
      <c r="M26" s="25" t="s">
        <v>465</v>
      </c>
      <c r="N26" s="25" t="s">
        <v>533</v>
      </c>
      <c r="O26" s="25" t="s">
        <v>534</v>
      </c>
      <c r="P26" s="25" t="s">
        <v>39</v>
      </c>
      <c r="Q26" s="26" t="s">
        <v>700</v>
      </c>
    </row>
    <row r="27" spans="1:17" ht="28.8" x14ac:dyDescent="0.3">
      <c r="A27" s="12" t="s">
        <v>461</v>
      </c>
      <c r="B27" s="10">
        <v>26</v>
      </c>
      <c r="C27" s="43" t="s">
        <v>699</v>
      </c>
      <c r="D27" s="21" t="s">
        <v>698</v>
      </c>
      <c r="E27" s="22" t="s">
        <v>532</v>
      </c>
      <c r="F27" s="23" t="s">
        <v>567</v>
      </c>
      <c r="G27" s="23" t="s">
        <v>39</v>
      </c>
      <c r="H27" s="24" t="s">
        <v>39</v>
      </c>
      <c r="I27" s="24" t="s">
        <v>30</v>
      </c>
      <c r="J27" s="24" t="s">
        <v>39</v>
      </c>
      <c r="K27" s="25" t="s">
        <v>203</v>
      </c>
      <c r="L27" s="25" t="s">
        <v>39</v>
      </c>
      <c r="M27" s="25" t="s">
        <v>465</v>
      </c>
      <c r="N27" s="25" t="s">
        <v>533</v>
      </c>
      <c r="O27" s="25" t="s">
        <v>534</v>
      </c>
      <c r="P27" s="25" t="s">
        <v>39</v>
      </c>
      <c r="Q27" s="26" t="s">
        <v>701</v>
      </c>
    </row>
    <row r="28" spans="1:17" ht="43.2" hidden="1" x14ac:dyDescent="0.3">
      <c r="A28" s="12" t="s">
        <v>461</v>
      </c>
      <c r="B28" s="10">
        <v>27</v>
      </c>
      <c r="C28" s="43" t="s">
        <v>24</v>
      </c>
      <c r="D28" s="21" t="s">
        <v>537</v>
      </c>
      <c r="E28" s="22" t="s">
        <v>463</v>
      </c>
      <c r="F28" s="23" t="s">
        <v>538</v>
      </c>
      <c r="G28" s="23" t="s">
        <v>39</v>
      </c>
      <c r="H28" s="24" t="s">
        <v>39</v>
      </c>
      <c r="I28" s="24" t="s">
        <v>39</v>
      </c>
      <c r="J28" s="24" t="s">
        <v>39</v>
      </c>
      <c r="K28" s="28" t="s">
        <v>539</v>
      </c>
      <c r="L28" s="25" t="s">
        <v>30</v>
      </c>
      <c r="M28" s="25" t="s">
        <v>474</v>
      </c>
      <c r="N28" s="25" t="s">
        <v>466</v>
      </c>
      <c r="O28" s="25" t="s">
        <v>485</v>
      </c>
      <c r="P28" s="25" t="s">
        <v>30</v>
      </c>
      <c r="Q28" s="26" t="s">
        <v>540</v>
      </c>
    </row>
    <row r="29" spans="1:17" ht="43.2" hidden="1" x14ac:dyDescent="0.3">
      <c r="A29" s="12" t="s">
        <v>461</v>
      </c>
      <c r="B29" s="10">
        <v>28</v>
      </c>
      <c r="C29" s="43" t="s">
        <v>25</v>
      </c>
      <c r="D29" s="21" t="s">
        <v>541</v>
      </c>
      <c r="E29" s="22" t="s">
        <v>471</v>
      </c>
      <c r="F29" s="23" t="s">
        <v>542</v>
      </c>
      <c r="G29" s="23" t="s">
        <v>39</v>
      </c>
      <c r="H29" s="24" t="s">
        <v>39</v>
      </c>
      <c r="I29" s="24" t="s">
        <v>39</v>
      </c>
      <c r="J29" s="24" t="s">
        <v>39</v>
      </c>
      <c r="K29" s="25" t="s">
        <v>203</v>
      </c>
      <c r="L29" s="25" t="s">
        <v>39</v>
      </c>
      <c r="M29" s="25" t="s">
        <v>474</v>
      </c>
      <c r="N29" s="25" t="s">
        <v>484</v>
      </c>
      <c r="O29" s="25" t="s">
        <v>485</v>
      </c>
      <c r="P29" s="25" t="s">
        <v>30</v>
      </c>
      <c r="Q29" s="26" t="s">
        <v>543</v>
      </c>
    </row>
    <row r="30" spans="1:17" ht="28.8" hidden="1" x14ac:dyDescent="0.3">
      <c r="A30" s="12" t="s">
        <v>461</v>
      </c>
      <c r="B30" s="10">
        <v>29</v>
      </c>
      <c r="C30" s="43" t="s">
        <v>26</v>
      </c>
      <c r="D30" s="21" t="s">
        <v>544</v>
      </c>
      <c r="E30" s="22" t="s">
        <v>471</v>
      </c>
      <c r="F30" s="23" t="s">
        <v>538</v>
      </c>
      <c r="G30" s="23" t="s">
        <v>30</v>
      </c>
      <c r="H30" s="24" t="s">
        <v>39</v>
      </c>
      <c r="I30" s="24" t="s">
        <v>39</v>
      </c>
      <c r="J30" s="24" t="s">
        <v>39</v>
      </c>
      <c r="K30" s="25" t="s">
        <v>203</v>
      </c>
      <c r="L30" s="25" t="s">
        <v>39</v>
      </c>
      <c r="M30" s="25" t="s">
        <v>474</v>
      </c>
      <c r="N30" s="25" t="s">
        <v>484</v>
      </c>
      <c r="O30" s="25" t="s">
        <v>485</v>
      </c>
      <c r="P30" s="25" t="s">
        <v>30</v>
      </c>
      <c r="Q30" s="26" t="s">
        <v>545</v>
      </c>
    </row>
    <row r="31" spans="1:17" hidden="1" x14ac:dyDescent="0.3">
      <c r="A31" s="12" t="s">
        <v>461</v>
      </c>
      <c r="B31" s="10">
        <v>30</v>
      </c>
      <c r="C31" s="43" t="s">
        <v>27</v>
      </c>
      <c r="D31" s="21" t="s">
        <v>546</v>
      </c>
      <c r="E31" s="22" t="s">
        <v>471</v>
      </c>
      <c r="F31" s="23" t="s">
        <v>538</v>
      </c>
      <c r="G31" s="23" t="s">
        <v>39</v>
      </c>
      <c r="H31" s="24" t="s">
        <v>30</v>
      </c>
      <c r="I31" s="24" t="s">
        <v>39</v>
      </c>
      <c r="J31" s="24" t="s">
        <v>39</v>
      </c>
      <c r="K31" s="25" t="s">
        <v>203</v>
      </c>
      <c r="L31" s="25" t="s">
        <v>39</v>
      </c>
      <c r="M31" s="25" t="s">
        <v>474</v>
      </c>
      <c r="N31" s="25" t="s">
        <v>484</v>
      </c>
      <c r="O31" s="25" t="s">
        <v>485</v>
      </c>
      <c r="P31" s="25" t="s">
        <v>30</v>
      </c>
      <c r="Q31" s="26" t="s">
        <v>547</v>
      </c>
    </row>
    <row r="32" spans="1:17" ht="28.8" hidden="1" x14ac:dyDescent="0.3">
      <c r="A32" s="12" t="s">
        <v>548</v>
      </c>
      <c r="B32" s="10">
        <v>6</v>
      </c>
      <c r="C32" s="36" t="s">
        <v>10</v>
      </c>
      <c r="D32" s="68" t="s">
        <v>498</v>
      </c>
      <c r="E32" s="22" t="s">
        <v>471</v>
      </c>
      <c r="F32" s="23" t="s">
        <v>499</v>
      </c>
      <c r="G32" s="23" t="s">
        <v>30</v>
      </c>
      <c r="H32" s="24" t="s">
        <v>39</v>
      </c>
      <c r="I32" s="24" t="s">
        <v>30</v>
      </c>
      <c r="J32" s="24" t="s">
        <v>39</v>
      </c>
      <c r="K32" s="25" t="s">
        <v>203</v>
      </c>
      <c r="L32" s="25" t="s">
        <v>39</v>
      </c>
      <c r="M32" s="25" t="s">
        <v>474</v>
      </c>
      <c r="N32" s="25" t="s">
        <v>466</v>
      </c>
      <c r="O32" s="25" t="s">
        <v>485</v>
      </c>
      <c r="P32" s="25" t="s">
        <v>39</v>
      </c>
      <c r="Q32" s="26" t="s">
        <v>500</v>
      </c>
    </row>
    <row r="33" spans="1:17" hidden="1" x14ac:dyDescent="0.3">
      <c r="A33" s="12" t="s">
        <v>548</v>
      </c>
      <c r="B33" s="10">
        <v>7</v>
      </c>
      <c r="C33" s="36" t="s">
        <v>128</v>
      </c>
      <c r="D33" s="68" t="s">
        <v>549</v>
      </c>
      <c r="E33" s="22" t="s">
        <v>532</v>
      </c>
      <c r="F33" s="23" t="s">
        <v>550</v>
      </c>
      <c r="G33" s="23" t="s">
        <v>39</v>
      </c>
      <c r="H33" s="24" t="s">
        <v>39</v>
      </c>
      <c r="I33" s="24" t="s">
        <v>39</v>
      </c>
      <c r="J33" s="24" t="s">
        <v>39</v>
      </c>
      <c r="K33" s="25" t="s">
        <v>203</v>
      </c>
      <c r="L33" s="25" t="s">
        <v>39</v>
      </c>
      <c r="M33" s="25" t="s">
        <v>465</v>
      </c>
      <c r="N33" s="25" t="s">
        <v>466</v>
      </c>
      <c r="O33" s="25" t="s">
        <v>466</v>
      </c>
      <c r="P33" s="25" t="s">
        <v>39</v>
      </c>
      <c r="Q33" s="26" t="s">
        <v>551</v>
      </c>
    </row>
    <row r="34" spans="1:17" hidden="1" x14ac:dyDescent="0.3">
      <c r="A34" s="12" t="s">
        <v>548</v>
      </c>
      <c r="B34" s="10">
        <v>8</v>
      </c>
      <c r="C34" s="36" t="s">
        <v>129</v>
      </c>
      <c r="D34" s="68" t="s">
        <v>552</v>
      </c>
      <c r="E34" s="22" t="s">
        <v>532</v>
      </c>
      <c r="F34" s="23" t="s">
        <v>536</v>
      </c>
      <c r="G34" s="23" t="s">
        <v>39</v>
      </c>
      <c r="H34" s="24" t="s">
        <v>39</v>
      </c>
      <c r="I34" s="24" t="s">
        <v>30</v>
      </c>
      <c r="J34" s="24" t="s">
        <v>30</v>
      </c>
      <c r="K34" s="25" t="s">
        <v>203</v>
      </c>
      <c r="L34" s="25" t="s">
        <v>39</v>
      </c>
      <c r="M34" s="25" t="s">
        <v>465</v>
      </c>
      <c r="N34" s="25" t="s">
        <v>533</v>
      </c>
      <c r="O34" s="25" t="s">
        <v>534</v>
      </c>
      <c r="P34" s="25" t="s">
        <v>39</v>
      </c>
      <c r="Q34" s="26" t="s">
        <v>553</v>
      </c>
    </row>
    <row r="35" spans="1:17" hidden="1" x14ac:dyDescent="0.3">
      <c r="A35" s="12" t="s">
        <v>548</v>
      </c>
      <c r="B35" s="10">
        <v>9</v>
      </c>
      <c r="C35" s="36" t="s">
        <v>130</v>
      </c>
      <c r="D35" s="68" t="s">
        <v>554</v>
      </c>
      <c r="E35" s="22" t="s">
        <v>532</v>
      </c>
      <c r="F35" s="23" t="s">
        <v>622</v>
      </c>
      <c r="G35" s="23" t="s">
        <v>39</v>
      </c>
      <c r="H35" s="24" t="s">
        <v>39</v>
      </c>
      <c r="I35" s="24" t="s">
        <v>30</v>
      </c>
      <c r="J35" s="24" t="s">
        <v>30</v>
      </c>
      <c r="K35" s="25" t="s">
        <v>203</v>
      </c>
      <c r="L35" s="25" t="s">
        <v>39</v>
      </c>
      <c r="M35" s="25" t="s">
        <v>465</v>
      </c>
      <c r="N35" s="25" t="s">
        <v>533</v>
      </c>
      <c r="O35" s="25" t="s">
        <v>534</v>
      </c>
      <c r="P35" s="25" t="s">
        <v>39</v>
      </c>
      <c r="Q35" s="26" t="s">
        <v>555</v>
      </c>
    </row>
    <row r="36" spans="1:17" hidden="1" x14ac:dyDescent="0.3">
      <c r="A36" s="12" t="s">
        <v>548</v>
      </c>
      <c r="B36" s="10">
        <v>10</v>
      </c>
      <c r="C36" s="36" t="s">
        <v>131</v>
      </c>
      <c r="D36" s="68" t="s">
        <v>556</v>
      </c>
      <c r="E36" s="22" t="s">
        <v>532</v>
      </c>
      <c r="F36" s="23" t="s">
        <v>557</v>
      </c>
      <c r="G36" s="23" t="s">
        <v>39</v>
      </c>
      <c r="H36" s="24" t="s">
        <v>39</v>
      </c>
      <c r="I36" s="24" t="s">
        <v>39</v>
      </c>
      <c r="J36" s="24" t="s">
        <v>30</v>
      </c>
      <c r="K36" s="25" t="s">
        <v>203</v>
      </c>
      <c r="L36" s="25" t="s">
        <v>39</v>
      </c>
      <c r="M36" s="25" t="s">
        <v>465</v>
      </c>
      <c r="N36" s="25" t="s">
        <v>533</v>
      </c>
      <c r="O36" s="25" t="s">
        <v>534</v>
      </c>
      <c r="P36" s="25" t="s">
        <v>39</v>
      </c>
      <c r="Q36" s="26" t="s">
        <v>558</v>
      </c>
    </row>
    <row r="37" spans="1:17" hidden="1" x14ac:dyDescent="0.3">
      <c r="A37" s="12" t="s">
        <v>548</v>
      </c>
      <c r="B37" s="10">
        <v>11</v>
      </c>
      <c r="C37" s="36" t="s">
        <v>132</v>
      </c>
      <c r="D37" s="68" t="s">
        <v>559</v>
      </c>
      <c r="E37" s="22" t="s">
        <v>532</v>
      </c>
      <c r="F37" s="23" t="s">
        <v>624</v>
      </c>
      <c r="G37" s="23" t="s">
        <v>39</v>
      </c>
      <c r="H37" s="24" t="s">
        <v>39</v>
      </c>
      <c r="I37" s="24" t="s">
        <v>30</v>
      </c>
      <c r="J37" s="24" t="s">
        <v>30</v>
      </c>
      <c r="K37" s="25" t="s">
        <v>203</v>
      </c>
      <c r="L37" s="25" t="s">
        <v>39</v>
      </c>
      <c r="M37" s="25" t="s">
        <v>465</v>
      </c>
      <c r="N37" s="25" t="s">
        <v>533</v>
      </c>
      <c r="O37" s="25" t="s">
        <v>534</v>
      </c>
      <c r="P37" s="25" t="s">
        <v>39</v>
      </c>
      <c r="Q37" s="26" t="s">
        <v>560</v>
      </c>
    </row>
    <row r="38" spans="1:17" ht="28.8" hidden="1" x14ac:dyDescent="0.3">
      <c r="A38" s="12" t="s">
        <v>548</v>
      </c>
      <c r="B38" s="10">
        <v>12</v>
      </c>
      <c r="C38" s="36" t="s">
        <v>133</v>
      </c>
      <c r="D38" s="68" t="s">
        <v>561</v>
      </c>
      <c r="E38" s="22" t="s">
        <v>471</v>
      </c>
      <c r="F38" s="23" t="s">
        <v>562</v>
      </c>
      <c r="G38" s="23" t="s">
        <v>39</v>
      </c>
      <c r="H38" s="24" t="s">
        <v>30</v>
      </c>
      <c r="I38" s="24" t="s">
        <v>39</v>
      </c>
      <c r="J38" s="24" t="s">
        <v>39</v>
      </c>
      <c r="K38" s="25" t="s">
        <v>203</v>
      </c>
      <c r="L38" s="25" t="s">
        <v>39</v>
      </c>
      <c r="M38" s="25" t="s">
        <v>493</v>
      </c>
      <c r="N38" s="25" t="s">
        <v>533</v>
      </c>
      <c r="O38" s="25" t="s">
        <v>534</v>
      </c>
      <c r="P38" s="25" t="s">
        <v>30</v>
      </c>
      <c r="Q38" s="26" t="s">
        <v>563</v>
      </c>
    </row>
    <row r="39" spans="1:17" ht="28.8" hidden="1" x14ac:dyDescent="0.3">
      <c r="A39" s="12" t="s">
        <v>548</v>
      </c>
      <c r="B39" s="10">
        <v>13</v>
      </c>
      <c r="C39" s="36" t="s">
        <v>612</v>
      </c>
      <c r="D39" s="68" t="s">
        <v>620</v>
      </c>
      <c r="E39" s="22" t="s">
        <v>532</v>
      </c>
      <c r="F39" s="23" t="s">
        <v>621</v>
      </c>
      <c r="G39" s="23" t="s">
        <v>39</v>
      </c>
      <c r="H39" s="24" t="s">
        <v>39</v>
      </c>
      <c r="I39" s="24" t="s">
        <v>30</v>
      </c>
      <c r="J39" s="24" t="s">
        <v>30</v>
      </c>
      <c r="K39" s="25" t="s">
        <v>203</v>
      </c>
      <c r="L39" s="25" t="s">
        <v>39</v>
      </c>
      <c r="M39" s="25" t="s">
        <v>465</v>
      </c>
      <c r="N39" s="25" t="s">
        <v>533</v>
      </c>
      <c r="O39" s="25" t="s">
        <v>534</v>
      </c>
      <c r="P39" s="25" t="s">
        <v>39</v>
      </c>
      <c r="Q39" s="26" t="s">
        <v>619</v>
      </c>
    </row>
    <row r="40" spans="1:17" hidden="1" x14ac:dyDescent="0.3">
      <c r="A40" s="12" t="s">
        <v>548</v>
      </c>
      <c r="B40" s="10">
        <v>14</v>
      </c>
      <c r="C40" s="36" t="s">
        <v>134</v>
      </c>
      <c r="D40" s="68" t="s">
        <v>564</v>
      </c>
      <c r="E40" s="22" t="s">
        <v>532</v>
      </c>
      <c r="F40" s="23" t="s">
        <v>536</v>
      </c>
      <c r="G40" s="23" t="s">
        <v>39</v>
      </c>
      <c r="H40" s="24" t="s">
        <v>39</v>
      </c>
      <c r="I40" s="24" t="s">
        <v>30</v>
      </c>
      <c r="J40" s="24" t="s">
        <v>30</v>
      </c>
      <c r="K40" s="25" t="s">
        <v>203</v>
      </c>
      <c r="L40" s="25" t="s">
        <v>39</v>
      </c>
      <c r="M40" s="25" t="s">
        <v>465</v>
      </c>
      <c r="N40" s="25" t="s">
        <v>533</v>
      </c>
      <c r="O40" s="25" t="s">
        <v>534</v>
      </c>
      <c r="P40" s="25" t="s">
        <v>39</v>
      </c>
      <c r="Q40" s="26" t="s">
        <v>565</v>
      </c>
    </row>
    <row r="41" spans="1:17" ht="28.8" hidden="1" x14ac:dyDescent="0.3">
      <c r="A41" s="12" t="s">
        <v>548</v>
      </c>
      <c r="B41" s="10">
        <v>15</v>
      </c>
      <c r="C41" s="36" t="s">
        <v>613</v>
      </c>
      <c r="D41" s="68" t="s">
        <v>625</v>
      </c>
      <c r="E41" s="22" t="s">
        <v>532</v>
      </c>
      <c r="F41" s="23" t="s">
        <v>617</v>
      </c>
      <c r="G41" s="23" t="s">
        <v>39</v>
      </c>
      <c r="H41" s="24" t="s">
        <v>39</v>
      </c>
      <c r="I41" s="24" t="s">
        <v>30</v>
      </c>
      <c r="J41" s="24" t="s">
        <v>30</v>
      </c>
      <c r="K41" s="25" t="s">
        <v>203</v>
      </c>
      <c r="L41" s="25" t="s">
        <v>39</v>
      </c>
      <c r="M41" s="25" t="s">
        <v>465</v>
      </c>
      <c r="N41" s="25" t="s">
        <v>533</v>
      </c>
      <c r="O41" s="25" t="s">
        <v>534</v>
      </c>
      <c r="P41" s="25" t="s">
        <v>39</v>
      </c>
      <c r="Q41" s="26" t="s">
        <v>626</v>
      </c>
    </row>
    <row r="42" spans="1:17" hidden="1" x14ac:dyDescent="0.3">
      <c r="A42" s="12" t="s">
        <v>548</v>
      </c>
      <c r="B42" s="10">
        <v>16</v>
      </c>
      <c r="C42" s="36" t="s">
        <v>614</v>
      </c>
      <c r="D42" s="68" t="s">
        <v>627</v>
      </c>
      <c r="E42" s="22" t="s">
        <v>532</v>
      </c>
      <c r="F42" s="23" t="s">
        <v>536</v>
      </c>
      <c r="G42" s="23" t="s">
        <v>39</v>
      </c>
      <c r="H42" s="24" t="s">
        <v>39</v>
      </c>
      <c r="I42" s="24" t="s">
        <v>30</v>
      </c>
      <c r="J42" s="24" t="s">
        <v>30</v>
      </c>
      <c r="K42" s="25" t="s">
        <v>203</v>
      </c>
      <c r="L42" s="25" t="s">
        <v>39</v>
      </c>
      <c r="M42" s="25" t="s">
        <v>465</v>
      </c>
      <c r="N42" s="25" t="s">
        <v>533</v>
      </c>
      <c r="O42" s="25" t="s">
        <v>534</v>
      </c>
      <c r="P42" s="25" t="s">
        <v>39</v>
      </c>
      <c r="Q42" s="26" t="s">
        <v>628</v>
      </c>
    </row>
    <row r="43" spans="1:17" hidden="1" x14ac:dyDescent="0.3">
      <c r="A43" s="12" t="s">
        <v>548</v>
      </c>
      <c r="B43" s="10">
        <v>17</v>
      </c>
      <c r="C43" s="36" t="s">
        <v>135</v>
      </c>
      <c r="D43" s="68" t="s">
        <v>566</v>
      </c>
      <c r="E43" s="22" t="s">
        <v>532</v>
      </c>
      <c r="F43" s="23" t="s">
        <v>622</v>
      </c>
      <c r="G43" s="23" t="s">
        <v>39</v>
      </c>
      <c r="H43" s="24" t="s">
        <v>39</v>
      </c>
      <c r="I43" s="24" t="s">
        <v>30</v>
      </c>
      <c r="J43" s="24" t="s">
        <v>30</v>
      </c>
      <c r="K43" s="25" t="s">
        <v>203</v>
      </c>
      <c r="L43" s="25" t="s">
        <v>39</v>
      </c>
      <c r="M43" s="25" t="s">
        <v>465</v>
      </c>
      <c r="N43" s="25" t="s">
        <v>533</v>
      </c>
      <c r="O43" s="25" t="s">
        <v>534</v>
      </c>
      <c r="P43" s="25" t="s">
        <v>39</v>
      </c>
      <c r="Q43" s="26" t="s">
        <v>568</v>
      </c>
    </row>
    <row r="44" spans="1:17" ht="28.8" hidden="1" x14ac:dyDescent="0.3">
      <c r="A44" s="12" t="s">
        <v>548</v>
      </c>
      <c r="B44" s="10">
        <v>18</v>
      </c>
      <c r="C44" s="36" t="s">
        <v>615</v>
      </c>
      <c r="D44" s="68" t="s">
        <v>629</v>
      </c>
      <c r="E44" s="22" t="s">
        <v>532</v>
      </c>
      <c r="F44" s="23" t="s">
        <v>536</v>
      </c>
      <c r="G44" s="23" t="s">
        <v>39</v>
      </c>
      <c r="H44" s="24" t="s">
        <v>39</v>
      </c>
      <c r="I44" s="24" t="s">
        <v>30</v>
      </c>
      <c r="J44" s="24" t="s">
        <v>30</v>
      </c>
      <c r="K44" s="25" t="s">
        <v>203</v>
      </c>
      <c r="L44" s="25" t="s">
        <v>39</v>
      </c>
      <c r="M44" s="25" t="s">
        <v>465</v>
      </c>
      <c r="N44" s="25" t="s">
        <v>533</v>
      </c>
      <c r="O44" s="25" t="s">
        <v>534</v>
      </c>
      <c r="P44" s="25" t="s">
        <v>39</v>
      </c>
      <c r="Q44" s="26" t="s">
        <v>702</v>
      </c>
    </row>
    <row r="45" spans="1:17" hidden="1" x14ac:dyDescent="0.3">
      <c r="A45" s="12" t="s">
        <v>548</v>
      </c>
      <c r="B45" s="10">
        <v>19</v>
      </c>
      <c r="C45" s="36" t="s">
        <v>616</v>
      </c>
      <c r="D45" s="68" t="s">
        <v>630</v>
      </c>
      <c r="E45" s="22" t="s">
        <v>532</v>
      </c>
      <c r="F45" s="23" t="s">
        <v>622</v>
      </c>
      <c r="G45" s="23" t="s">
        <v>39</v>
      </c>
      <c r="H45" s="24" t="s">
        <v>39</v>
      </c>
      <c r="I45" s="24" t="s">
        <v>30</v>
      </c>
      <c r="J45" s="24" t="s">
        <v>30</v>
      </c>
      <c r="K45" s="25" t="s">
        <v>203</v>
      </c>
      <c r="L45" s="25" t="s">
        <v>39</v>
      </c>
      <c r="M45" s="25" t="s">
        <v>465</v>
      </c>
      <c r="N45" s="25" t="s">
        <v>533</v>
      </c>
      <c r="O45" s="25" t="s">
        <v>534</v>
      </c>
      <c r="P45" s="25" t="s">
        <v>39</v>
      </c>
      <c r="Q45" s="26" t="s">
        <v>631</v>
      </c>
    </row>
    <row r="46" spans="1:17" ht="28.8" hidden="1" x14ac:dyDescent="0.3">
      <c r="A46" s="12" t="s">
        <v>548</v>
      </c>
      <c r="B46" s="10">
        <v>20</v>
      </c>
      <c r="C46" s="36" t="s">
        <v>136</v>
      </c>
      <c r="D46" s="68" t="s">
        <v>569</v>
      </c>
      <c r="E46" s="22" t="s">
        <v>463</v>
      </c>
      <c r="F46" s="23" t="s">
        <v>623</v>
      </c>
      <c r="G46" s="23" t="s">
        <v>39</v>
      </c>
      <c r="H46" s="24" t="s">
        <v>39</v>
      </c>
      <c r="I46" s="24" t="s">
        <v>39</v>
      </c>
      <c r="J46" s="24" t="s">
        <v>30</v>
      </c>
      <c r="K46" s="25" t="s">
        <v>203</v>
      </c>
      <c r="L46" s="25" t="s">
        <v>39</v>
      </c>
      <c r="M46" s="25" t="s">
        <v>474</v>
      </c>
      <c r="N46" s="25" t="s">
        <v>466</v>
      </c>
      <c r="O46" s="25" t="s">
        <v>466</v>
      </c>
      <c r="P46" s="25" t="s">
        <v>39</v>
      </c>
      <c r="Q46" s="26" t="s">
        <v>570</v>
      </c>
    </row>
    <row r="47" spans="1:17" ht="28.8" hidden="1" x14ac:dyDescent="0.3">
      <c r="A47" s="12" t="s">
        <v>548</v>
      </c>
      <c r="B47" s="10">
        <v>21</v>
      </c>
      <c r="C47" s="29" t="s">
        <v>137</v>
      </c>
      <c r="D47" s="68" t="s">
        <v>571</v>
      </c>
      <c r="E47" s="22" t="s">
        <v>471</v>
      </c>
      <c r="F47" s="27" t="s">
        <v>496</v>
      </c>
      <c r="G47" s="23" t="s">
        <v>39</v>
      </c>
      <c r="H47" s="24" t="s">
        <v>39</v>
      </c>
      <c r="I47" s="24" t="s">
        <v>39</v>
      </c>
      <c r="J47" s="24" t="s">
        <v>39</v>
      </c>
      <c r="K47" s="25" t="s">
        <v>203</v>
      </c>
      <c r="L47" s="25" t="s">
        <v>30</v>
      </c>
      <c r="M47" s="25" t="s">
        <v>474</v>
      </c>
      <c r="N47" s="25" t="s">
        <v>466</v>
      </c>
      <c r="O47" s="25" t="s">
        <v>466</v>
      </c>
      <c r="P47" s="25" t="s">
        <v>39</v>
      </c>
      <c r="Q47" s="26" t="s">
        <v>572</v>
      </c>
    </row>
    <row r="48" spans="1:17" ht="28.8" hidden="1" x14ac:dyDescent="0.3">
      <c r="A48" s="12" t="s">
        <v>548</v>
      </c>
      <c r="B48" s="10">
        <v>22</v>
      </c>
      <c r="C48" s="36" t="s">
        <v>138</v>
      </c>
      <c r="D48" s="68" t="s">
        <v>573</v>
      </c>
      <c r="E48" s="22" t="s">
        <v>471</v>
      </c>
      <c r="F48" s="27" t="s">
        <v>496</v>
      </c>
      <c r="G48" s="23" t="s">
        <v>39</v>
      </c>
      <c r="H48" s="24" t="s">
        <v>39</v>
      </c>
      <c r="I48" s="24" t="s">
        <v>39</v>
      </c>
      <c r="J48" s="24" t="s">
        <v>39</v>
      </c>
      <c r="K48" s="25" t="s">
        <v>203</v>
      </c>
      <c r="L48" s="25" t="s">
        <v>30</v>
      </c>
      <c r="M48" s="25" t="s">
        <v>474</v>
      </c>
      <c r="N48" s="25" t="s">
        <v>466</v>
      </c>
      <c r="O48" s="25" t="s">
        <v>466</v>
      </c>
      <c r="P48" s="25" t="s">
        <v>39</v>
      </c>
      <c r="Q48" s="26" t="s">
        <v>574</v>
      </c>
    </row>
    <row r="49" spans="1:17" ht="28.8" hidden="1" x14ac:dyDescent="0.3">
      <c r="A49" s="12" t="s">
        <v>548</v>
      </c>
      <c r="B49" s="10">
        <v>23</v>
      </c>
      <c r="C49" s="36" t="s">
        <v>139</v>
      </c>
      <c r="D49" s="68" t="s">
        <v>575</v>
      </c>
      <c r="E49" s="22" t="s">
        <v>471</v>
      </c>
      <c r="F49" s="23" t="s">
        <v>576</v>
      </c>
      <c r="G49" s="23" t="s">
        <v>39</v>
      </c>
      <c r="H49" s="24" t="s">
        <v>30</v>
      </c>
      <c r="I49" s="24" t="s">
        <v>39</v>
      </c>
      <c r="J49" s="24" t="s">
        <v>39</v>
      </c>
      <c r="K49" s="25" t="s">
        <v>203</v>
      </c>
      <c r="L49" s="25" t="s">
        <v>39</v>
      </c>
      <c r="M49" s="25"/>
      <c r="N49" s="25"/>
      <c r="O49" s="25"/>
      <c r="P49" s="25" t="s">
        <v>30</v>
      </c>
      <c r="Q49" s="26" t="s">
        <v>577</v>
      </c>
    </row>
  </sheetData>
  <phoneticPr fontId="19" type="noConversion"/>
  <conditionalFormatting sqref="G2:G49">
    <cfRule type="expression" dxfId="5" priority="5">
      <formula>IF($G2="true",1,0)</formula>
    </cfRule>
  </conditionalFormatting>
  <conditionalFormatting sqref="H2:H49">
    <cfRule type="expression" dxfId="4" priority="7">
      <formula>IF($H2="true",1,0)</formula>
    </cfRule>
  </conditionalFormatting>
  <conditionalFormatting sqref="I2:I49">
    <cfRule type="cellIs" dxfId="3" priority="2" operator="equal">
      <formula>"true"</formula>
    </cfRule>
  </conditionalFormatting>
  <conditionalFormatting sqref="J2:J49">
    <cfRule type="expression" dxfId="2" priority="6">
      <formula>IF($J2="true",1,0)</formula>
    </cfRule>
  </conditionalFormatting>
  <conditionalFormatting sqref="K2:K49">
    <cfRule type="expression" dxfId="1" priority="4">
      <formula>IF($K2&lt;&gt;"none",1,0)</formula>
    </cfRule>
  </conditionalFormatting>
  <conditionalFormatting sqref="L2:L49">
    <cfRule type="expression" dxfId="0" priority="3">
      <formula>IF($L2="true",1,0)</formula>
    </cfRule>
  </conditionalFormatting>
  <dataValidations count="6">
    <dataValidation type="list" showInputMessage="1" showErrorMessage="1" sqref="O11 N2:N49" xr:uid="{D390489B-D2EC-4169-BF55-4C0809B0690B}">
      <formula1>"up,center,down,"</formula1>
    </dataValidation>
    <dataValidation type="list" allowBlank="1" showInputMessage="1" showErrorMessage="1" sqref="O2:O10 O12:O49" xr:uid="{B4E8464F-798E-4996-B186-9C5B74FDE85A}">
      <formula1>"left,center,right,"</formula1>
    </dataValidation>
    <dataValidation type="list" showInputMessage="1" showErrorMessage="1" sqref="E2:E49" xr:uid="{92C8B38C-AE75-485D-BA39-38E679C69393}">
      <formula1>"text,int,float,bool,"</formula1>
    </dataValidation>
    <dataValidation type="list" showInputMessage="1" showErrorMessage="1" sqref="G2:J49 L2:L49" xr:uid="{DBEE043F-7460-4994-BFBF-9ADEB36E8C6E}">
      <formula1>"false,true,"</formula1>
    </dataValidation>
    <dataValidation type="list" allowBlank="1" showInputMessage="1" showErrorMessage="1" sqref="P2:P49" xr:uid="{70C4688D-8356-4AE9-8CF4-88699F7CA265}">
      <formula1>"false,true,"</formula1>
    </dataValidation>
    <dataValidation type="list" showInputMessage="1" showErrorMessage="1" sqref="M2:M4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7"/>
  <sheetViews>
    <sheetView zoomScaleNormal="100" workbookViewId="0">
      <pane ySplit="1" topLeftCell="A2" activePane="bottomLeft" state="frozen"/>
      <selection pane="bottomLeft" activeCell="C5" sqref="C5"/>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578</v>
      </c>
      <c r="C1" s="3" t="s">
        <v>579</v>
      </c>
      <c r="D1" s="4" t="s">
        <v>460</v>
      </c>
    </row>
    <row r="2" spans="1:4" ht="196.2" customHeight="1" x14ac:dyDescent="0.3">
      <c r="A2" s="7">
        <v>1</v>
      </c>
      <c r="B2" s="6" t="s">
        <v>580</v>
      </c>
      <c r="C2" s="8" t="s">
        <v>581</v>
      </c>
      <c r="D2" s="5" t="s">
        <v>582</v>
      </c>
    </row>
    <row r="3" spans="1:4" ht="122.4" customHeight="1" x14ac:dyDescent="0.3">
      <c r="A3" s="34">
        <v>2</v>
      </c>
      <c r="B3" s="6" t="s">
        <v>583</v>
      </c>
      <c r="C3" s="35" t="s">
        <v>584</v>
      </c>
      <c r="D3" s="5" t="s">
        <v>585</v>
      </c>
    </row>
    <row r="4" spans="1:4" ht="140.4" customHeight="1" x14ac:dyDescent="0.3">
      <c r="A4" s="34">
        <v>3</v>
      </c>
      <c r="B4" s="6" t="s">
        <v>586</v>
      </c>
      <c r="C4" s="35" t="s">
        <v>587</v>
      </c>
      <c r="D4" s="5" t="s">
        <v>588</v>
      </c>
    </row>
    <row r="5" spans="1:4" ht="126.6" customHeight="1" x14ac:dyDescent="0.3">
      <c r="A5" s="34">
        <v>4</v>
      </c>
      <c r="B5" s="6" t="s">
        <v>589</v>
      </c>
      <c r="C5" s="35" t="s">
        <v>584</v>
      </c>
      <c r="D5" s="5" t="s">
        <v>590</v>
      </c>
    </row>
    <row r="6" spans="1:4" ht="187.2" x14ac:dyDescent="0.3">
      <c r="A6" s="34">
        <v>5</v>
      </c>
      <c r="B6" s="6" t="s">
        <v>591</v>
      </c>
      <c r="C6" s="35" t="s">
        <v>592</v>
      </c>
      <c r="D6" s="37" t="s">
        <v>593</v>
      </c>
    </row>
    <row r="7" spans="1:4" ht="144" x14ac:dyDescent="0.3">
      <c r="A7" s="34">
        <v>6</v>
      </c>
      <c r="B7" s="46" t="s">
        <v>594</v>
      </c>
      <c r="C7" s="35" t="s">
        <v>595</v>
      </c>
      <c r="D7" s="37" t="s">
        <v>596</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rev.04 v01
Версия ETL процессора: rev.04 v01</_x041f__x0440__x0438__x043c__x0435__x0447__x0430__x043d__x0438__x044f_>
    <TaxCatchAll xmlns="00626a45-2e8b-44e2-b2b6-fb30aea60018" xsi:nil="true"/>
  </documentManagement>
</p:properties>
</file>

<file path=customXml/item8.xml>��
</file>

<file path=customXml/item9.xml>��
</file>

<file path=customXml/item10.xml>��
</file>

<file path=customXml/item11.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2.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3.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4.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5.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6.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7.xml><?xml version="1.0" encoding="utf-8"?>
<ds:datastoreItem xmlns:ds="http://schemas.openxmlformats.org/officeDocument/2006/customXml" ds:itemID="{4F428D2F-958C-4F90-BAE5-DE993D97C453}">
  <ds:schemaRefs>
    <ds:schemaRef ds:uri="http://schemas.microsoft.com/office/2006/metadata/properties"/>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infopath/2007/PartnerControls"/>
    <ds:schemaRef ds:uri="00626a45-2e8b-44e2-b2b6-fb30aea60018"/>
    <ds:schemaRef ds:uri="9d226c47-cd18-4964-9161-6ccb92249125"/>
  </ds:schemaRefs>
</ds:datastoreItem>
</file>

<file path=customXml/itemProps8.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9.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0.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11.xml><?xml version="1.0" encoding="utf-8"?>
<ds:datastoreItem xmlns:ds="http://schemas.openxmlformats.org/officeDocument/2006/customXml" ds:itemID="{CE1858E8-BA2D-4875-9272-28444F7693F6}">
  <ds:schemaRefs>
    <ds:schemaRef ds:uri="http://gemini/pivotcustomization/Diagrams"/>
  </ds:schemaRefs>
</ds:datastoreItem>
</file>

<file path=customXml/itemProps12.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3.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4.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5.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6.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17.xml><?xml version="1.0" encoding="utf-8"?>
<ds:datastoreItem xmlns:ds="http://schemas.openxmlformats.org/officeDocument/2006/customXml" ds:itemID="{AAA16094-6EFC-4DAB-BA70-5996474E7C0D}">
  <ds:schemaRefs>
    <ds:schemaRef ds:uri="http://schemas.microsoft.com/DataMashup"/>
  </ds:schemaRefs>
</ds:datastoreItem>
</file>

<file path=customXml/itemProps18.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9.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20.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21.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22.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23.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24.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25.xml><?xml version="1.0" encoding="utf-8"?>
<ds:datastoreItem xmlns:ds="http://schemas.openxmlformats.org/officeDocument/2006/customXml" ds:itemID="{E5D20989-897E-43AF-BCD1-629124E8DE46}">
  <ds:schemaRefs>
    <ds:schemaRef ds:uri="http://gemini/pivotcustomization/TableXML_TabDepartamen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2026-09-17T13:04:07Z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