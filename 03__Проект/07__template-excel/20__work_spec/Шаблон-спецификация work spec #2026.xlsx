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60f393676dadff3/01__LLC_MAS_2025/CONTRACT/2026/1_2026-N2-МАС/03__Проект/07__template-excel/20__work_spec/"/>
    </mc:Choice>
  </mc:AlternateContent>
  <xr:revisionPtr revIDLastSave="6" documentId="8_{E41F4DFA-A28F-42E7-9E8C-CAE5B7F57E4C}" xr6:coauthVersionLast="47" xr6:coauthVersionMax="47" xr10:uidLastSave="{01135255-AAFD-496E-B6A7-A6B015356C9D}"/>
  <bookViews>
    <workbookView xWindow="192" yWindow="8412" windowWidth="43800" windowHeight="16452" tabRatio="633" activeTab="2" xr2:uid="{00000000-000D-0000-FFFF-FFFF00000000}"/>
  </bookViews>
  <sheets>
    <sheet name="SpecificationWork_1" sheetId="25" r:id="rId1"/>
    <sheet name="SpecificationWork_2" sheetId="29" r:id="rId2"/>
    <sheet name="SpecificationWork" sheetId="43" r:id="rId3"/>
    <sheet name="Pivot" sheetId="37" r:id="rId4"/>
    <sheet name="HandbookProject" sheetId="27" state="hidden" r:id="rId5"/>
    <sheet name="HandbookBrand" sheetId="22" state="hidden" r:id="rId6"/>
    <sheet name="HandbookSupplier" sheetId="23" state="hidden" r:id="rId7"/>
    <sheet name="HandbookUnit" sheetId="24" state="hidden" r:id="rId8"/>
    <sheet name="TableSchema" sheetId="18" r:id="rId9"/>
    <sheet name="ConfigJSON" sheetId="17" r:id="rId10"/>
  </sheets>
  <definedNames>
    <definedName name="_xlnm._FilterDatabase" localSheetId="1" hidden="1">SpecificationWork_2!$A$1:$D$9</definedName>
    <definedName name="ExternalData_1" localSheetId="5" hidden="1">HandbookBrand!$A$1:$B$88</definedName>
    <definedName name="ExternalData_1" localSheetId="4" hidden="1">HandbookProject!$A$1:$E$134</definedName>
    <definedName name="ExternalData_1" localSheetId="6" hidden="1">HandbookSupplier!$A$1:$B$48</definedName>
    <definedName name="ExternalData_1" localSheetId="7" hidden="1">HandbookUnit!$A$1:$B$5</definedName>
    <definedName name="ExternalData_1" localSheetId="2" hidden="1">SpecificationWork!$A$1:$AM$23</definedName>
  </definedNames>
  <calcPr calcId="191028" refMode="R1C1"/>
  <pivotCaches>
    <pivotCache cacheId="10" r:id="rId11"/>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4" i="43" l="1"/>
  <c r="AM24" i="43"/>
  <c r="H3" i="29"/>
  <c r="N3" i="29" s="1"/>
  <c r="H4" i="29"/>
  <c r="N4" i="29" s="1"/>
  <c r="H2" i="29"/>
  <c r="N2" i="29" s="1"/>
  <c r="A2" i="29" s="1" a="1"/>
  <c r="A2" i="29" s="1"/>
  <c r="I4" i="29"/>
  <c r="I3" i="29"/>
  <c r="I2" i="29"/>
  <c r="K2" i="29" s="1"/>
  <c r="Q2" i="29" s="1"/>
  <c r="K3" i="29" l="1"/>
  <c r="Q3" i="29" s="1"/>
  <c r="K4" i="29"/>
  <c r="Q4" i="29" s="1"/>
  <c r="F3" i="29" l="1"/>
  <c r="F4" i="29"/>
  <c r="F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tc={309647A7-39FA-4D1C-9D34-F6589AA872B5}</author>
    <author>tc={CF0B5015-4158-4820-9F26-C26499DBA742}</author>
    <author>tc={21F0EC38-F450-4B3D-9F20-24E0A5086D76}</author>
    <author>tc={80AA62D7-622C-4FD5-BD05-73196064F988}</author>
    <author>tc={FD29CBDA-5DC6-4B24-8102-5F8F7BB14035}</author>
    <author>tc={63A27906-F095-41CD-A95D-65E7066FF0CA}</author>
    <author>tc={1C6B5050-6CB5-4334-B0BF-D352BE35FCDD}</author>
    <author>tc={D0474F68-7DA7-4FC0-8BD1-134ECFB12491}</author>
    <author>tc={9096AD6D-0080-4F91-9D46-8ADB24D70A9C}</author>
    <author>tc={F5520E19-1749-4935-937F-D330CD583E41}</author>
    <author>tc={CD8022F8-4810-4BA1-A1F9-0C15B5CF4AD3}</author>
    <author>tc={A186831B-F51A-48CE-8D1F-DD0498716A32}</author>
    <author>tc={7AB54C9D-A09E-42F2-9D72-BE02ECAADC92}</author>
    <author>tc={8E0C7296-1BDD-4B47-A850-27FD40517584}</author>
    <author>tc={9B32C0B5-C05B-484C-A693-11A0F23F77D8}</author>
    <author>tc={B42D3B41-058E-4983-94A4-8C60C7C63672}</author>
    <author>tc={56C833C4-D222-48BD-9788-D14B6BE0D29E}</author>
    <author>tc={F8030F50-FD87-4745-A651-025560126A86}</author>
  </authors>
  <commentList>
    <comment ref="F1" authorId="0" shapeId="0" xr:uid="{309647A7-39FA-4D1C-9D34-F6589AA872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Уникальное хэш значение, характеризуемое текущую коллекцию</t>
      </text>
    </comment>
    <comment ref="G1" authorId="1" shapeId="0" xr:uid="{CF0B5015-4158-4820-9F26-C26499DBA74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Коэффициент наценки</t>
      </text>
    </comment>
    <comment ref="H1" authorId="2" shapeId="0" xr:uid="{21F0EC38-F450-4B3D-9F20-24E0A5086D7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Цена за единицу - реализация
Автоматически заполняемый столбец</t>
      </text>
    </comment>
    <comment ref="I1" authorId="3" shapeId="0" xr:uid="{80AA62D7-622C-4FD5-BD05-73196064F98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Стоимость - реализация
Автоматически заполняемый столбец.</t>
      </text>
    </comment>
    <comment ref="J1" authorId="4" shapeId="0" xr:uid="{FD29CBDA-5DC6-4B24-8102-5F8F7BB1403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Скидка в процентах</t>
      </text>
    </comment>
    <comment ref="K1" authorId="5" shapeId="0" xr:uid="{63A27906-F095-41CD-A95D-65E7066FF0C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Скидка в процентах
Автоматически заполняемый столбец.</t>
      </text>
    </comment>
    <comment ref="L1" authorId="6" shapeId="0" xr:uid="{1C6B5050-6CB5-4334-B0BF-D352BE35FCDD}">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Колонка зарезервирована для будущих изменений в методиках рассчета цены/стоимости</t>
      </text>
    </comment>
    <comment ref="M1" authorId="7" shapeId="0" xr:uid="{D0474F68-7DA7-4FC0-8BD1-134ECFB1249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Ставка НДС исполнителя (0.22 для ГОРИЗОНТ; 0.00 для МАС/ИП)
Автоматически заполняемый столбец</t>
      </text>
    </comment>
    <comment ref="N1" authorId="8" shapeId="0" xr:uid="{9096AD6D-0080-4F91-9D46-8ADB24D70A9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цена по позиции - реализация
Автоматически заполняемый столбец</t>
      </text>
    </comment>
    <comment ref="O1" authorId="9" shapeId="0" xr:uid="{F5520E19-1749-4935-937F-D330CD583E4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Исходящий НДС на ед.
Автоматически заполняемый столбец</t>
      </text>
    </comment>
    <comment ref="P1" authorId="10" shapeId="0" xr:uid="{CD8022F8-4810-4BA1-A1F9-0C15B5CF4AD3}">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цена за ед. С НДС
Автоматически заполняемый столбец</t>
      </text>
    </comment>
    <comment ref="Q1" authorId="11" shapeId="0" xr:uid="{A186831B-F51A-48CE-8D1F-DD0498716A3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стоимость по позиции - реализация
Автоматически заполняемый столбец
</t>
      </text>
    </comment>
    <comment ref="R1" authorId="12" shapeId="0" xr:uid="{7AB54C9D-A09E-42F2-9D72-BE02ECAADC9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Исходящий НДС на стоимость
Автоматически заполняемый столбец</t>
      </text>
    </comment>
    <comment ref="S1" authorId="13" shapeId="0" xr:uid="{8E0C7296-1BDD-4B47-A850-27FD4051758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стоимость С НДС
Автоматически заполняемый столбец</t>
      </text>
    </comment>
    <comment ref="T1" authorId="14" shapeId="0" xr:uid="{9B32C0B5-C05B-484C-A693-11A0F23F77D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Длительность в календарных днях реализации товара или услуги</t>
      </text>
    </comment>
    <comment ref="U1" authorId="15" shapeId="0" xr:uid="{B42D3B41-058E-4983-94A4-8C60C7C6367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закупки позиции в данном заказе</t>
      </text>
    </comment>
    <comment ref="V1" authorId="16" shapeId="0" xr:uid="{56C833C4-D222-48BD-9788-D14B6BE0D29E}">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пост-модификации коммерческих данных данной коллекции </t>
      </text>
    </comment>
    <comment ref="W1" authorId="17" shapeId="0" xr:uid="{F8030F50-FD87-4745-A651-025560126A8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Комментарии, открытый - для заказчика, полезная информация по позиции в свободной форме</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tc={677E766F-DCD2-40C5-BCF6-694B76559E7B}</author>
    <author>tc={9097B5E4-5BB8-495D-920F-57E4FE5CA3D9}</author>
    <author>tc={EAFE6082-86D5-4614-8F32-BA64CCE0A820}</author>
    <author>tc={324BD8BD-4E4A-4D8A-8018-FCE55CC73CF0}</author>
  </authors>
  <commentList>
    <comment ref="A1" authorId="0" shapeId="0" xr:uid="{677E766F-DCD2-40C5-BCF6-694B76559E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
      </text>
    </comment>
    <comment ref="B1" authorId="1" shapeId="0" xr:uid="{9097B5E4-5BB8-495D-920F-57E4FE5CA3D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
      </text>
    </comment>
    <comment ref="C1" authorId="2" shapeId="0" xr:uid="{EAFE6082-86D5-4614-8F32-BA64CCE0A82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
      </text>
    </comment>
    <comment ref="D1" authorId="3" shapeId="0" xr:uid="{324BD8BD-4E4A-4D8A-8018-FCE55CC73CF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определяющий назначение конфигурационного JSON объекта.</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C4766-FE53-4913-87C5-FA57CF980B52}"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033BA-DA1B-4D40-B043-2A7725E1A0F3}" name="WorksheetConnection_Шаблон-спецификация work spec ^N2025.xlsx!TabSpecificationWork_1" type="102" refreshedVersion="8" minRefreshableVersion="5">
    <extLst>
      <ext xmlns:x15="http://schemas.microsoft.com/office/spreadsheetml/2010/11/main" uri="{DE250136-89BD-433C-8126-D09CA5730AF9}">
        <x15:connection id="TabSpecificationWork_1" autoDelete="1">
          <x15:rangePr sourceName="#ССЫЛКА!"/>
        </x15:connection>
      </ext>
    </extLst>
  </connection>
  <connection id="3" xr16:uid="{8AACF328-DBA8-4490-9435-12D7A95ED362}" name="WorksheetConnection_Шаблон-спецификация work spec ^N2025.xlsx!TabSpecificationWork_2" type="102" refreshedVersion="8" minRefreshableVersion="5">
    <extLst>
      <ext xmlns:x15="http://schemas.microsoft.com/office/spreadsheetml/2010/11/main" uri="{DE250136-89BD-433C-8126-D09CA5730AF9}">
        <x15:connection id="TabSpecificationWork_2">
          <x15:rangePr sourceName="TabSpecificationWork_2"/>
        </x15:connection>
      </ext>
    </extLst>
  </connection>
  <connection id="4" xr16:uid="{600E5483-04DA-45C5-A50D-56D679FA84AC}" keepAlive="1" name="Запрос — Corporation(1)" description="Соединение с запросом &quot;Corporation&quot; в книге." type="5" refreshedVersion="0" background="1">
    <dbPr connection="Provider=Microsoft.Mashup.OleDb.1;Data Source=$Workbook$;Location=Corporation;Extended Properties=&quot;&quot;" command="SELECT * FROM [Corporation]"/>
  </connection>
  <connection id="5" xr16:uid="{4A619DB3-1083-4F2C-9832-140819114C90}" keepAlive="1" name="Запрос — Counterparty" description="Соединение с запросом &quot;Counterparty&quot; в книге." type="5" refreshedVersion="0" background="1">
    <dbPr connection="Provider=Microsoft.Mashup.OleDb.1;Data Source=$Workbook$;Location=Counterparty;Extended Properties=&quot;&quot;" command="SELECT * FROM [Counterparty]"/>
  </connection>
  <connection id="6" xr16:uid="{3FC9813E-EDE7-465C-BB83-44C481FCBAF7}" keepAlive="1" name="Запрос — fnGetColumnNamesByTableName" description="Соединение с запросом &quot;fnGetColumnNamesByTableName&quot; в книге." type="5" refreshedVersion="0" background="1">
    <dbPr connection="Provider=Microsoft.Mashup.OleDb.1;Data Source=$Workbook$;Location=fnGetColumnNamesByTableName;Extended Properties=&quot;&quot;" command="SELECT * FROM [fnGetColumnNamesByTableName]"/>
  </connection>
  <connection id="7" xr16:uid="{ED570F2B-77CF-4335-A6AB-0EAE1164B64D}" keepAlive="1" name="Запрос — ftCapitalizeWords" description="Соединение с запросом &quot;ftCapitalizeWords&quot; в книге." type="5" refreshedVersion="0" background="1">
    <dbPr connection="Provider=Microsoft.Mashup.OleDb.1;Data Source=$Workbook$;Location=ftCapitalizeWords;Extended Properties=&quot;&quot;" command="SELECT * FROM [ftCapitalizeWords]"/>
  </connection>
  <connection id="8" xr16:uid="{EE508F9E-96E9-4D70-8EBD-470286DF55CB}" keepAlive="1" name="Запрос — ftCreateFullNameColumn" description="Соединение с запросом &quot;ftCreateFullNameColumn&quot; в книге." type="5" refreshedVersion="0" background="1">
    <dbPr connection="Provider=Microsoft.Mashup.OleDb.1;Data Source=$Workbook$;Location=ftCreateFullNameColumn;Extended Properties=&quot;&quot;" command="SELECT * FROM [ftCreateFullNameColumn]"/>
  </connection>
  <connection id="9" xr16:uid="{D0A0DF4D-15B8-446F-997B-31A45F1A9BF5}" keepAlive="1" name="Запрос — ftGetFullNameColumn" description="Соединение с запросом &quot;ftGetFullNameColumn&quot; в книге." type="5" refreshedVersion="0" background="1">
    <dbPr connection="Provider=Microsoft.Mashup.OleDb.1;Data Source=$Workbook$;Location=ftGetFullNameColumn;Extended Properties=&quot;&quot;" command="SELECT * FROM [ftGetFullNameColumn]"/>
  </connection>
  <connection id="10" xr16:uid="{022B6E77-FD56-41CF-9B5B-316664439645}" keepAlive="1" name="Запрос — ftNormalizeDates" description="Соединение с запросом &quot;ftNormalizeDates&quot; в книге." type="5" refreshedVersion="0" background="1">
    <dbPr connection="Provider=Microsoft.Mashup.OleDb.1;Data Source=$Workbook$;Location=ftNormalizeDates;Extended Properties=&quot;&quot;" command="SELECT * FROM [ftNormalizeDates]"/>
  </connection>
  <connection id="11" xr16:uid="{EFBBC001-9590-4159-B59C-65CB9427EBE1}" keepAlive="1" name="Запрос — ftRemoveColumnsStrict" description="Соединение с запросом &quot;ftRemoveColumnsStrict&quot; в книге." type="5" refreshedVersion="0" background="1">
    <dbPr connection="Provider=Microsoft.Mashup.OleDb.1;Data Source=$Workbook$;Location=ftRemoveColumnsStrict;Extended Properties=&quot;&quot;" command="SELECT * FROM [ftRemoveColumnsStrict]"/>
  </connection>
  <connection id="12" xr16:uid="{B6DFCEFE-5E2D-44A2-AE3F-734B8AA70B40}" keepAlive="1" name="Запрос — ftReorderColumnsStrict" description="Соединение с запросом &quot;ftReorderColumnsStrict&quot; в книге." type="5" refreshedVersion="0" background="1">
    <dbPr connection="Provider=Microsoft.Mashup.OleDb.1;Data Source=$Workbook$;Location=ftReorderColumnsStrict;Extended Properties=&quot;&quot;" command="SELECT * FROM [ftReorderColumnsStrict]"/>
  </connection>
  <connection id="13" xr16:uid="{8524AC48-AB0F-4A0B-89DD-41437F16A325}" keepAlive="1" name="Запрос — ftToLowerCase" description="Соединение с запросом &quot;ftToLowerCase&quot; в книге." type="5" refreshedVersion="0" background="1">
    <dbPr connection="Provider=Microsoft.Mashup.OleDb.1;Data Source=$Workbook$;Location=ftToLowerCase;Extended Properties=&quot;&quot;" command="SELECT * FROM [ftToLowerCase]"/>
  </connection>
  <connection id="14" xr16:uid="{CE7CBBC1-35C9-42F5-9D2A-D08575092BF0}" keepAlive="1" name="Запрос — ftToUpperCase" description="Соединение с запросом &quot;ftToUpperCase&quot; в книге." type="5" refreshedVersion="0" background="1">
    <dbPr connection="Provider=Microsoft.Mashup.OleDb.1;Data Source=$Workbook$;Location=ftToUpperCase;Extended Properties=&quot;&quot;" command="SELECT * FROM [ftToUpperCase]"/>
  </connection>
  <connection id="15" xr16:uid="{476D5206-B769-4E7A-8AA6-8EBE23DDC54A}" keepAlive="1" name="Запрос — ftTrimTextColumns" description="Соединение с запросом &quot;ftTrimTextColumns&quot; в книге." type="5" refreshedVersion="0" background="1">
    <dbPr connection="Provider=Microsoft.Mashup.OleDb.1;Data Source=$Workbook$;Location=ftTrimTextColumns;Extended Properties=&quot;&quot;" command="SELECT * FROM [ftTrimTextColumns]"/>
  </connection>
  <connection id="16" xr16:uid="{3ED31CBD-B0FD-4170-878F-E0AB037A8209}" keepAlive="1" name="Запрос — fvCheckBoolean" description="Соединение с запросом &quot;fvCheckBoolean&quot; в книге." type="5" refreshedVersion="0" background="1">
    <dbPr connection="Provider=Microsoft.Mashup.OleDb.1;Data Source=$Workbook$;Location=fvCheckBoolean;Extended Properties=&quot;&quot;" command="SELECT * FROM [fvCheckBoolean]"/>
  </connection>
  <connection id="17" xr16:uid="{8ABFF21D-901B-47FE-9720-C211F7C71F75}" keepAlive="1" name="Запрос — fvCheckDate" description="Соединение с запросом &quot;fvCheckDate&quot; в книге." type="5" refreshedVersion="0" background="1">
    <dbPr connection="Provider=Microsoft.Mashup.OleDb.1;Data Source=$Workbook$;Location=fvCheckDate;Extended Properties=&quot;&quot;" command="SELECT * FROM [fvCheckDate]"/>
  </connection>
  <connection id="18" xr16:uid="{F1605377-4F8D-466F-AB6C-0615716A38A4}" keepAlive="1" name="Запрос — fvCheckDateRange" description="Соединение с запросом &quot;fvCheckDateRange&quot; в книге." type="5" refreshedVersion="0" background="1">
    <dbPr connection="Provider=Microsoft.Mashup.OleDb.1;Data Source=$Workbook$;Location=fvCheckDateRange;Extended Properties=&quot;&quot;" command="SELECT * FROM [fvCheckDateRange]"/>
  </connection>
  <connection id="19" xr16:uid="{06F6936D-08FF-49FB-84A8-C44708721046}" keepAlive="1" name="Запрос — fvCheckEmail" description="Соединение с запросом &quot;fvCheckEmail&quot; в книге." type="5" refreshedVersion="0" background="1">
    <dbPr connection="Provider=Microsoft.Mashup.OleDb.1;Data Source=$Workbook$;Location=fvCheckEmail;Extended Properties=&quot;&quot;" command="SELECT * FROM [fvCheckEmail]"/>
  </connection>
  <connection id="20" xr16:uid="{726A02B3-9115-4067-8386-72C394005663}" keepAlive="1" name="Запрос — fvCheckFloat" description="Соединение с запросом &quot;fvCheckFloat&quot; в книге." type="5" refreshedVersion="0" background="1">
    <dbPr connection="Provider=Microsoft.Mashup.OleDb.1;Data Source=$Workbook$;Location=fvCheckFloat;Extended Properties=&quot;&quot;" command="SELECT * FROM [fvCheckFloat]"/>
  </connection>
  <connection id="21" xr16:uid="{55235942-EA85-4617-BF3D-825DA21B584E}" keepAlive="1" name="Запрос — fvCheckFloatRange" description="Соединение с запросом &quot;fvCheckFloatRange&quot; в книге." type="5" refreshedVersion="0" background="1">
    <dbPr connection="Provider=Microsoft.Mashup.OleDb.1;Data Source=$Workbook$;Location=fvCheckFloatRange;Extended Properties=&quot;&quot;" command="SELECT * FROM [fvCheckFloatRange]"/>
  </connection>
  <connection id="22" xr16:uid="{111BE1CA-D942-460D-83A5-BFCA256230EF}" keepAlive="1" name="Запрос — fvCheckID_2" description="Соединение с запросом &quot;fvCheckID_2&quot; в книге." type="5" refreshedVersion="0" background="1">
    <dbPr connection="Provider=Microsoft.Mashup.OleDb.1;Data Source=$Workbook$;Location=fvCheckID_2;Extended Properties=&quot;&quot;" command="SELECT * FROM [fvCheckID_2]"/>
  </connection>
  <connection id="23" xr16:uid="{89030697-5D70-44AE-BD78-ED69A03C2CDC}" keepAlive="1" name="Запрос — fvCheckINN_LLC" description="Соединение с запросом &quot;fvCheckINN_LLC&quot; в книге." type="5" refreshedVersion="0" background="1">
    <dbPr connection="Provider=Microsoft.Mashup.OleDb.1;Data Source=$Workbook$;Location=fvCheckINN_LLC;Extended Properties=&quot;&quot;" command="SELECT * FROM [fvCheckINN_LLC]"/>
  </connection>
  <connection id="24" xr16:uid="{C98FA24B-B50B-49EE-B3BE-EEADC1FB3C52}" keepAlive="1" name="Запрос — fvCheckINN_Personal" description="Соединение с запросом &quot;fvCheckINN_Personal&quot; в книге." type="5" refreshedVersion="0" background="1">
    <dbPr connection="Provider=Microsoft.Mashup.OleDb.1;Data Source=$Workbook$;Location=fvCheckINN_Personal;Extended Properties=&quot;&quot;" command="SELECT * FROM [fvCheckINN_Personal]"/>
  </connection>
  <connection id="25" xr16:uid="{0CECA61C-4058-4AE1-B2B1-14E26BBE73FE}" keepAlive="1" name="Запрос — fvCheckInteger" description="Соединение с запросом &quot;fvCheckInteger&quot; в книге." type="5" refreshedVersion="0" background="1">
    <dbPr connection="Provider=Microsoft.Mashup.OleDb.1;Data Source=$Workbook$;Location=fvCheckInteger;Extended Properties=&quot;&quot;" command="SELECT * FROM [fvCheckInteger]"/>
  </connection>
  <connection id="26" xr16:uid="{5796186F-CB70-43C4-933A-424F84C676B0}" keepAlive="1" name="Запрос — fvCheckIntegerRange" description="Соединение с запросом &quot;fvCheckIntegerRange&quot; в книге." type="5" refreshedVersion="0" background="1">
    <dbPr connection="Provider=Microsoft.Mashup.OleDb.1;Data Source=$Workbook$;Location=fvCheckIntegerRange;Extended Properties=&quot;&quot;" command="SELECT * FROM [fvCheckIntegerRange]"/>
  </connection>
  <connection id="27" xr16:uid="{1F0B29A6-33DD-42A0-B218-39BC28872046}" keepAlive="1" name="Запрос — fvCheckKPP" description="Соединение с запросом &quot;fvCheckKPP&quot; в книге." type="5" refreshedVersion="0" background="1">
    <dbPr connection="Provider=Microsoft.Mashup.OleDb.1;Data Source=$Workbook$;Location=fvCheckKPP;Extended Properties=&quot;&quot;" command="SELECT * FROM [fvCheckKPP]"/>
  </connection>
  <connection id="28" xr16:uid="{9928A786-61F9-42EC-B3AA-92DDA7B28D25}" keepAlive="1" name="Запрос — fvCheckNonEmpty" description="Соединение с запросом &quot;fvCheckNonEmpty&quot; в книге." type="5" refreshedVersion="0" background="1">
    <dbPr connection="Provider=Microsoft.Mashup.OleDb.1;Data Source=$Workbook$;Location=fvCheckNonEmpty;Extended Properties=&quot;&quot;" command="SELECT * FROM [fvCheckNonEmpty]"/>
  </connection>
  <connection id="29" xr16:uid="{AD415652-5141-4A14-8ADB-02AFE8BAD715}" keepAlive="1" name="Запрос — fvCheckPassportNumber" description="Соединение с запросом &quot;fvCheckPassportNumber&quot; в книге." type="5" refreshedVersion="0" background="1">
    <dbPr connection="Provider=Microsoft.Mashup.OleDb.1;Data Source=$Workbook$;Location=fvCheckPassportNumber;Extended Properties=&quot;&quot;" command="SELECT * FROM [fvCheckPassportNumber]"/>
  </connection>
  <connection id="30" xr16:uid="{EE30D2C4-CAFF-4A24-A8B2-4986F34B6417}" keepAlive="1" name="Запрос — fvCheckPassportSeries" description="Соединение с запросом &quot;fvCheckPassportSeries&quot; в книге." type="5" refreshedVersion="0" background="1">
    <dbPr connection="Provider=Microsoft.Mashup.OleDb.1;Data Source=$Workbook$;Location=fvCheckPassportSeries;Extended Properties=&quot;&quot;" command="SELECT * FROM [fvCheckPassportSeries]"/>
  </connection>
  <connection id="31" xr16:uid="{A0709AE1-9470-4BF0-B77D-840B4287E9EE}" keepAlive="1" name="Запрос — fvCheckPassportUnitCode" description="Соединение с запросом &quot;fvCheckPassportUnitCode&quot; в книге." type="5" refreshedVersion="0" background="1">
    <dbPr connection="Provider=Microsoft.Mashup.OleDb.1;Data Source=$Workbook$;Location=fvCheckPassportUnitCode;Extended Properties=&quot;&quot;" command="SELECT * FROM [fvCheckPassportUnitCode]"/>
  </connection>
  <connection id="32" xr16:uid="{F9742020-A499-4D83-8B9A-B81ACADA7321}" keepAlive="1" name="Запрос — fvCheckPhone" description="Соединение с запросом &quot;fvCheckPhone&quot; в книге." type="5" refreshedVersion="0" background="1">
    <dbPr connection="Provider=Microsoft.Mashup.OleDb.1;Data Source=$Workbook$;Location=fvCheckPhone;Extended Properties=&quot;&quot;" command="SELECT * FROM [fvCheckPhone]"/>
  </connection>
  <connection id="33" xr16:uid="{9A780C01-E366-4BC1-94BD-32CF3E8F5F78}" keepAlive="1" name="Запрос — fvCheckSNILS" description="Соединение с запросом &quot;fvCheckSNILS&quot; в книге." type="5" refreshedVersion="0" background="1">
    <dbPr connection="Provider=Microsoft.Mashup.OleDb.1;Data Source=$Workbook$;Location=fvCheckSNILS;Extended Properties=&quot;&quot;" command="SELECT * FROM [fvCheckSNILS]"/>
  </connection>
  <connection id="34" xr16:uid="{D38F85A7-B21A-4DCD-9EC9-74D68A079C53}" keepAlive="1" name="Запрос — fvCheckTextLength" description="Соединение с запросом &quot;fvCheckTextLength&quot; в книге." type="5" refreshedVersion="0" background="1">
    <dbPr connection="Provider=Microsoft.Mashup.OleDb.1;Data Source=$Workbook$;Location=fvCheckTextLength;Extended Properties=&quot;&quot;" command="SELECT * FROM [fvCheckTextLength]"/>
  </connection>
  <connection id="35" xr16:uid="{223BF67F-28BF-444F-99F8-C7B3AD7834B6}" keepAlive="1" name="Запрос — ProcessingTable" description="Соединение с запросом &quot;ProcessingTable&quot; в книге." type="5" refreshedVersion="0" background="1" saveData="1">
    <dbPr connection="Provider=Microsoft.Mashup.OleDb.1;Data Source=$Workbook$;Location=ProcessingTable;Extended Properties=&quot;&quot;" command="SELECT * FROM [ProcessingTable]"/>
  </connection>
  <connection id="36" xr16:uid="{A8A1F686-081A-4454-8018-EA79119BA536}" keepAlive="1" name="Запрос — Project" description="Соединение с запросом &quot;Project&quot; в книге." type="5" refreshedVersion="8" background="1" saveData="1">
    <dbPr connection="Provider=Microsoft.Mashup.OleDb.1;Data Source=$Workbook$;Location=Project;Extended Properties=&quot;&quot;" command="SELECT * FROM [Project]"/>
  </connection>
  <connection id="37" xr16:uid="{34EDC940-1C31-4EEA-8AAE-C03C35AA29E2}" keepAlive="1" name="Запрос — sourceTable_TabCorporationList" description="Соединение с запросом &quot;sourceTable_TabCorporationList&quot; в книге." type="5" refreshedVersion="0" background="1">
    <dbPr connection="Provider=Microsoft.Mashup.OleDb.1;Data Source=$Workbook$;Location=sourceTable_TabCorporationList;Extended Properties=&quot;&quot;" command="SELECT * FROM [sourceTable_TabCorporationList]"/>
  </connection>
  <connection id="38" xr16:uid="{8B90939D-13E3-466C-B012-06D4D6E61D64}" keepAlive="1" name="Запрос — sourceTable_TabCounterpartyList" description="Соединение с запросом &quot;sourceTable_TabCounterpartyList&quot; в книге." type="5" refreshedVersion="0" background="1">
    <dbPr connection="Provider=Microsoft.Mashup.OleDb.1;Data Source=$Workbook$;Location=sourceTable_TabCounterpartyList;Extended Properties=&quot;&quot;" command="SELECT * FROM [sourceTable_TabCounterpartyList]"/>
  </connection>
  <connection id="39" xr16:uid="{9C9D0C37-4DFB-4C8C-8B2B-A86E688D3CA9}" keepAlive="1" name="Запрос — sourceTable_TabProjectList" description="Соединение с запросом &quot;sourceTable_TabProjectList&quot; в книге." type="5" refreshedVersion="0" background="1">
    <dbPr connection="Provider=Microsoft.Mashup.OleDb.1;Data Source=$Workbook$;Location=sourceTable_TabProjectList;Extended Properties=&quot;&quot;" command="SELECT * FROM [sourceTable_TabProjectList]"/>
  </connection>
  <connection id="40" xr16:uid="{BC5B7CDA-8708-4531-8C9C-C1970EE852B5}" keepAlive="1" name="Запрос — sourceTable_TabSupplier" description="Соединение с запросом &quot;sourceTable_TabSupplier&quot; в книге." type="5" refreshedVersion="0" background="1">
    <dbPr connection="Provider=Microsoft.Mashup.OleDb.1;Data Source=$Workbook$;Location=sourceTable_TabSupplier;Extended Properties=&quot;&quot;" command="SELECT * FROM [sourceTable_TabSupplier]"/>
  </connection>
  <connection id="41" xr16:uid="{10D73F9E-1E59-46C3-AD94-AD71BDDE9054}" keepAlive="1" name="Запрос — sourceTable_TabUnits" description="Соединение с запросом &quot;sourceTable_TabUnits&quot; в книге." type="5" refreshedVersion="0" background="1">
    <dbPr connection="Provider=Microsoft.Mashup.OleDb.1;Data Source=$Workbook$;Location=sourceTable_TabUnits;Extended Properties=&quot;&quot;" command="SELECT * FROM [sourceTable_TabUnits]"/>
  </connection>
  <connection id="42" xr16:uid="{FA83B3C6-85E9-43A8-B844-E178EAA98115}" keepAlive="1" name="Запрос — sourceTable_TabVendorAndBrand" description="Соединение с запросом &quot;sourceTable_TabVendorAndBrand&quot; в книге." type="5" refreshedVersion="0" background="1">
    <dbPr connection="Provider=Microsoft.Mashup.OleDb.1;Data Source=$Workbook$;Location=sourceTable_TabVendorAndBrand;Extended Properties=&quot;&quot;" command="SELECT * FROM [sourceTable_TabVendorAndBrand]"/>
  </connection>
  <connection id="43" xr16:uid="{89FD8298-0B16-4A16-8DBD-7158CFEC59B3}" keepAlive="1" name="Запрос — sourceWorkbook_TabCorporationList" description="Соединение с запросом &quot;sourceWorkbook_TabCorporationList&quot; в книге." type="5" refreshedVersion="0" background="1">
    <dbPr connection="Provider=Microsoft.Mashup.OleDb.1;Data Source=$Workbook$;Location=sourceWorkbook_TabCorporationList;Extended Properties=&quot;&quot;" command="SELECT * FROM [sourceWorkbook_TabCorporationList]"/>
  </connection>
  <connection id="44" xr16:uid="{B9C085AB-66B6-4964-A907-048D7684635D}" keepAlive="1" name="Запрос — sourceWorkbook_TabCounterpartyList" description="Соединение с запросом &quot;sourceWorkbook_TabCounterpartyList&quot; в книге." type="5" refreshedVersion="0" background="1">
    <dbPr connection="Provider=Microsoft.Mashup.OleDb.1;Data Source=$Workbook$;Location=sourceWorkbook_TabCounterpartyList;Extended Properties=&quot;&quot;" command="SELECT * FROM [sourceWorkbook_TabCounterpartyList]"/>
  </connection>
  <connection id="45" xr16:uid="{DC5F5DFD-29E0-4AA7-B426-0C4D269E52C0}" keepAlive="1" name="Запрос — sourceWorkbook_TabProjectList" description="Соединение с запросом &quot;sourceWorkbook_TabProjectList&quot; в книге." type="5" refreshedVersion="0" background="1">
    <dbPr connection="Provider=Microsoft.Mashup.OleDb.1;Data Source=$Workbook$;Location=sourceWorkbook_TabProjectList;Extended Properties=&quot;&quot;" command="SELECT * FROM [sourceWorkbook_TabProjectList]"/>
  </connection>
  <connection id="46" xr16:uid="{897FD406-E423-46AF-A1C5-EB4EFCB546A6}" keepAlive="1" name="Запрос — sourceWorkbook_TabSupplier" description="Соединение с запросом &quot;sourceWorkbook_TabSupplier&quot; в книге." type="5" refreshedVersion="0" background="1">
    <dbPr connection="Provider=Microsoft.Mashup.OleDb.1;Data Source=$Workbook$;Location=sourceWorkbook_TabSupplier;Extended Properties=&quot;&quot;" command="SELECT * FROM [sourceWorkbook_TabSupplier]"/>
  </connection>
  <connection id="47" xr16:uid="{CB2626B7-F328-42F9-86F5-66A2FFB98084}" keepAlive="1" name="Запрос — sourceWorkbook_TabUnits" description="Соединение с запросом &quot;sourceWorkbook_TabUnits&quot; в книге." type="5" refreshedVersion="0" background="1">
    <dbPr connection="Provider=Microsoft.Mashup.OleDb.1;Data Source=$Workbook$;Location=sourceWorkbook_TabUnits;Extended Properties=&quot;&quot;" command="SELECT * FROM [sourceWorkbook_TabUnits]"/>
  </connection>
  <connection id="48" xr16:uid="{5615E901-E814-4CC8-B2E9-BA6C95E6980A}" keepAlive="1" name="Запрос — sourceWorkbook_TabVendorAndBrand" description="Соединение с запросом &quot;sourceWorkbook_TabVendorAndBrand&quot; в книге." type="5" refreshedVersion="0" background="1">
    <dbPr connection="Provider=Microsoft.Mashup.OleDb.1;Data Source=$Workbook$;Location=sourceWorkbook_TabVendorAndBrand;Extended Properties=&quot;&quot;" command="SELECT * FROM [sourceWorkbook_TabVendorAndBrand]"/>
  </connection>
  <connection id="49" xr16:uid="{59CE3BEF-5D81-4274-B820-44C98B7F43A4}" keepAlive="1" name="Запрос — Supplier" description="Соединение с запросом &quot;Supplier&quot; в книге." type="5" refreshedVersion="8" background="1" saveData="1">
    <dbPr connection="Provider=Microsoft.Mashup.OleDb.1;Data Source=$Workbook$;Location=Supplier;Extended Properties=&quot;&quot;" command="SELECT * FROM [Supplier]"/>
  </connection>
  <connection id="50" xr16:uid="{43537CE4-1C97-4568-9E1E-8A49854FAC2A}" keepAlive="1" name="Запрос — Units" description="Соединение с запросом &quot;Units&quot; в книге." type="5" refreshedVersion="8" background="1" saveData="1">
    <dbPr connection="Provider=Microsoft.Mashup.OleDb.1;Data Source=$Workbook$;Location=Units;Extended Properties=&quot;&quot;" command="SELECT * FROM [Units]"/>
  </connection>
  <connection id="51" xr16:uid="{2720F50E-F6AD-466B-A4E5-4327A55BA699}" keepAlive="1" name="Запрос — UtilsFunctionScalar" description="Соединение с запросом &quot;UtilsFunctionScalar&quot; в книге." type="5" refreshedVersion="0" background="1">
    <dbPr connection="Provider=Microsoft.Mashup.OleDb.1;Data Source=$Workbook$;Location=UtilsFunctionScalar;Extended Properties=&quot;&quot;" command="SELECT * FROM [UtilsFunctionScalar]"/>
  </connection>
  <connection id="52" xr16:uid="{B73A073B-49A7-47BF-8243-1424C48F3227}" keepAlive="1" name="Запрос — UtilsFunctionVector" description="Соединение с запросом &quot;UtilsFunctionVector&quot; в книге." type="5" refreshedVersion="0" background="1">
    <dbPr connection="Provider=Microsoft.Mashup.OleDb.1;Data Source=$Workbook$;Location=UtilsFunctionVector;Extended Properties=&quot;&quot;" command="SELECT * FROM [UtilsFunctionVector]"/>
  </connection>
  <connection id="53" xr16:uid="{7DB205A0-E9EB-469F-B7AD-140B4F689337}" keepAlive="1" name="Запрос — VendorAndBrand" description="Соединение с запросом &quot;VendorAndBrand&quot; в книге." type="5" refreshedVersion="8" background="1" saveData="1">
    <dbPr connection="Provider=Microsoft.Mashup.OleDb.1;Data Source=$Workbook$;Location=VendorAndBrand;Extended Properties=&quot;&quot;" command="SELECT * FROM [VendorAndBrand]"/>
  </connection>
  <connection id="54" xr16:uid="{3FD17BF8-C9CE-4741-824E-B925E562B4FC}" keepAlive="1" name="Запрос — Вызванная функцияProcessingTable (6)" description="Соединение с запросом &quot;Вызванная функцияProcessingTable (6)&quot; в книге." type="5" refreshedVersion="8" background="1" saveData="1">
    <dbPr connection="Provider=Microsoft.Mashup.OleDb.1;Data Source=$Workbook$;Location=&quot;Вызванная функцияProcessingTable (6)&quot;;Extended Properties=&quot;&quot;" command="SELECT * FROM [Вызванная функцияProcessingTable (6)]"/>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4">
    <s v="ThisWorkbookDataModel"/>
    <s v="{[TabSpecificationWork_1].[NUM FULL SET].&amp;[1.1],[TabSpecificationWork_1].[NUM FULL SET].&amp;[1.2],[TabSpecificationWork_1].[NUM FULL SET].&amp;[2.1],[TabSpecificationWork_1].[NUM FULL SET].&amp;[2.2],[TabSpecificationWork_1].[NUM FULL SET].&amp;[2.3],[TabSpecificationWork_1].[NUM FULL SET].&amp;[2.4],[TabSpecificationWork_1].[NUM FULL SET].&amp;[2.5],[TabSpecificationWork_1].[NUM FULL SET].&amp;[3.1],[TabSpecificationWork_1].[NUM FULL SET].&amp;[3.2],[TabSpecificationWork_1].[NUM FULL SET].&amp;[3.3],[TabSpecificationWork_1].[NUM FULL SET].&amp;[3.4],[TabSpecificationWork_1].[NUM FULL SET].&amp;[3.5],[TabSpecificationWork_1].[NUM FULL SET].&amp;[3.6],[TabSpecificationWork_1].[NUM FULL SET].&amp;[4.1],[TabSpecificationWork_1].[NUM FULL SET].&amp;[4.2],[TabSpecificationWork_1].[NUM FULL SET].&amp;[4.3],[TabSpecificationWork_1].[NUM FULL SET].&amp;[4.4],[TabSpecificationWork_1].[NUM FULL SET].&amp;[4.6],[TabSpecificationWork_1].[NUM FULL SET].&amp;[5.1]}"/>
    <s v="{[TabSpecificationWork_1].[isSHIPPED].[All]}"/>
    <s v="{[TabSpecificationWork_1].[NUM PROJECT].&amp;[1/2024-N3-ГОРИЗОНТ]}"/>
  </metadataStrings>
  <mdxMetadata count="3">
    <mdx n="0" f="s">
      <ms ns="1" c="0"/>
    </mdx>
    <mdx n="0" f="s">
      <ms ns="2" c="0"/>
    </mdx>
    <mdx n="0" f="s">
      <ms ns="3" c="0"/>
    </mdx>
  </mdxMetadata>
  <futureMetadata name="XLDAPR" count="1">
    <bk>
      <extLst>
        <ext uri="{bdbb8cdc-fa1e-496e-a857-3c3f30c029c3}">
          <xda:dynamicArrayProperties fDynamic="1" fCollapsed="0"/>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<sst xmlns="http://schemas.openxmlformats.org/spreadsheetml/2006/main" count="946" uniqueCount="483">
  <si>
    <t>IDnum</t>
  </si>
  <si>
    <t>IDsource</t>
  </si>
  <si>
    <t>NUM PROJECT</t>
  </si>
  <si>
    <t>NUM ORDER</t>
  </si>
  <si>
    <t>VER COLLECTION</t>
  </si>
  <si>
    <t>DESCRIPTION SET</t>
  </si>
  <si>
    <t>IDset</t>
  </si>
  <si>
    <t>NUM SEQUENCE SET</t>
  </si>
  <si>
    <t>NUM FULL SET</t>
  </si>
  <si>
    <t>isSHIPPED</t>
  </si>
  <si>
    <t>HASH COLLECTION</t>
  </si>
  <si>
    <t>NAME PRODUCT</t>
  </si>
  <si>
    <t>DESCRIPTION PRODUCT</t>
  </si>
  <si>
    <t>BRAND</t>
  </si>
  <si>
    <t>SUPPLIER</t>
  </si>
  <si>
    <t>ARTICLE SUPPLIER</t>
  </si>
  <si>
    <t>ARTICLE INTERNAL</t>
  </si>
  <si>
    <t>UNITS</t>
  </si>
  <si>
    <t>QUANTITY SET</t>
  </si>
  <si>
    <t>QUANTITY SHIPPED SET</t>
  </si>
  <si>
    <t>QUANTITY TOTAL</t>
  </si>
  <si>
    <t>QUANTITY SUPPLIER</t>
  </si>
  <si>
    <t>PRICE UNIT $PURCHASE</t>
  </si>
  <si>
    <t>COST PRICE $PURCHASE</t>
  </si>
  <si>
    <t>TCP SOURCE</t>
  </si>
  <si>
    <t>COMMENT WORK</t>
  </si>
  <si>
    <t>IMAGE PRODUCT</t>
  </si>
  <si>
    <t>1/2024-N4-ГОРИЗОНТ</t>
  </si>
  <si>
    <t xml:space="preserve">Комплект активного сетевого оборудования </t>
  </si>
  <si>
    <t>true</t>
  </si>
  <si>
    <t>Коммутатор L3, OS3228</t>
  </si>
  <si>
    <t>Управляемый L3 коммутатор
Количество гигабитных портов RJ-45: 24
Количество портов 10G SFP+: 4
Динамическая маршрутизация RIP, OSPF, BGP
Статическая маршрутизация
802.1Q VLAN, Selective Q-in-Q, Multicast VLAN
Аутентификация 802.1X, ACL, Port Security
Широкий набор функций QoS для приоритизации трафика
IGMP/MLD Snooping для работы с multicast-трафиком
ERPS, STP/RSTP/MSTP, LoopBack Detection для отказоустойчивости
Администрирование через Web-интерфейс, Telnet, SSH, Console, SNMP
Питание
Напряжение питания: 100-240 VAC
Мощность блоков питания: 23,2 Вт
Количество блоков питания: 1 шт
Размеры (Д x Ш x В): 441 x 207 x 44 мм
Вес: 2,74 кг</t>
  </si>
  <si>
    <t>ORIGO</t>
  </si>
  <si>
    <t>OCS</t>
  </si>
  <si>
    <t>1000714105</t>
  </si>
  <si>
    <t>шт</t>
  </si>
  <si>
    <t>Коммутатор полевого уровня/ 
Дополнительная закупка - резервного оборудования по итогам совещания с Заказчиком</t>
  </si>
  <si>
    <t>Комплект модулей для активного сетевого оборудования</t>
  </si>
  <si>
    <t>false</t>
  </si>
  <si>
    <t>DEM-432XT</t>
  </si>
  <si>
    <t>Десятигигабитный оптический SFP+ трансивер
Интерфейсы: 1 порт 10GBase-LR
Форм-фактор: SFP+
Разъем: дуплексный LC
Режим работы: однонаправленный
Тип кабеля: одномодовый
Стандарт: IEEE 802.3ae 10GBase-LR
Расстояние передачи данных: 10 км
Скорость передачи данных: 10 Гбит/с
Выходная оптическая мощность (Tx):макс 0.5 дБм, мин -8  дБм
Входная оптическая мощность (Rx): макс -1  дБм, мин -14.4 дБм
Чувствительность: -14.4 дБм
Температура рабочая:  0 - 70 °C</t>
  </si>
  <si>
    <t>D-Link</t>
  </si>
  <si>
    <t>ДССЛ</t>
  </si>
  <si>
    <t>32109</t>
  </si>
  <si>
    <t>Модули предназначены для обеспечения стендового оборудования (в виде 2-х коммутаторов ORIGO)
ВНИМАНИЕ: данная позиция не переноситтся в отгрузучную спецификацию. Комплект стендового оборудования</t>
  </si>
  <si>
    <t>Модуль SFP с интерфейсом RJ45, до 100м</t>
  </si>
  <si>
    <t>Модуль SFP с интерфейсом RJ45, до 100м
Тип модуля: 1000 Base-T
Скорость модуля: 1Gbps
Форм-фактор модуля: модули SFP
Тип коннектора модуля: RJ45
Диапазон рабочих температур, °C: от -5 до 70
Максимальное расстояние, км: 0,1</t>
  </si>
  <si>
    <t>SNR</t>
  </si>
  <si>
    <t>НАГ</t>
  </si>
  <si>
    <t>SNR-SFP-T</t>
  </si>
  <si>
    <t>ВНИМАНИЕ: позиция была закуплена ранее вне данной спецификации, поэтому данная позиция не требует закупки по текущей спецификации !</t>
  </si>
  <si>
    <t xml:space="preserve">Комплект пассивного сетевого оборудования </t>
  </si>
  <si>
    <t>Патч-корд оптический LC-LC-SM duplex</t>
  </si>
  <si>
    <t>Патч-корд оптический LC-LC-SM duplex
Тип коннектора 1: LC
Тип коннектора 2: LC
Кабель: одномодовый
Длина: 3 метра</t>
  </si>
  <si>
    <t>Cabeus</t>
  </si>
  <si>
    <t>ОнЛайн Трейд</t>
  </si>
  <si>
    <t>3614958</t>
  </si>
  <si>
    <t>Патч корд предназначен для соединений ядрового коммутатора с патч панелью стойки с ПТК. Также предназначен для проведения тестовых нагузочных испытаний подключение полевых коммутаторов.
ВНИМАНИЕ: в отгрузочную спецификацию переносится 14 шт ТМЦ, остальное ЗИП и отладочный комплект</t>
  </si>
  <si>
    <t>Патч-корд RG45 cat 6, 3 м красный</t>
  </si>
  <si>
    <t>Патч-корд RG45 cat 6 
Длина: 3 м 
Цвет: красный</t>
  </si>
  <si>
    <t>Lanmaster</t>
  </si>
  <si>
    <t>2329851</t>
  </si>
  <si>
    <t>Патч корд предназначен для межблочной коммутации в стойке ПТК</t>
  </si>
  <si>
    <t>Патч-корд RG45 cat 6, 3 м желтый</t>
  </si>
  <si>
    <t>Патч-корд RG45 cat 6 
Длина: 3 м 
Цвет: желтый</t>
  </si>
  <si>
    <t>2329849</t>
  </si>
  <si>
    <t>Патч-корд RG45 cat 6, 3 м синий</t>
  </si>
  <si>
    <t>Патч-корд RG45 cat 6 
Длина: 3 м 
Цвет: синий</t>
  </si>
  <si>
    <t>2329960</t>
  </si>
  <si>
    <t>Комплект пассивного сетевого оборудования</t>
  </si>
  <si>
    <t xml:space="preserve">Оптический кросс 19" 1U 16 портов  </t>
  </si>
  <si>
    <t xml:space="preserve">Оптический кросс 19" 1U 16 портов
Тип портов: FC
</t>
  </si>
  <si>
    <t>SNR-ODF-24R-16FC-P-BK</t>
  </si>
  <si>
    <t>Установка в серверную стойку с ПТК</t>
  </si>
  <si>
    <t>Комплект активного сетевого оборудования с монтажным комплектом</t>
  </si>
  <si>
    <t>Комплект промышленного гибридного коммутатора L2, слоты SFP-слота, РоЕ+,  оптический кросс на 32, шкаф IP67</t>
  </si>
  <si>
    <t>Шкаф с оптическим кроссом и встроенным коммутатором уличный, неуправляемый, 2 SFP-слота, РоЕ+
Два SFP-слота / Встроенный оптический кросс РоЕ+  802.3at (60W) на всех портах
Диапазон рабочих температур: -60 °С ... 50 °С
Класс защиты IP: IP66
Материал корпуса: пластик
Масса: 3.6 кг
Исполнение: неуправляемый
Порты PoE: количество портов 4 шт, до 60 Вт на порт
Порты SFP: количество портов 2 шт, стандарт SFP
Габаритные размеры: ДxШxВ 360 мм x 240 мм x 120 мм
Питание: AC, 230 В, 200 Вт
Пропускная способность: 4.8 Гбит/с</t>
  </si>
  <si>
    <t>TFortis</t>
  </si>
  <si>
    <t>ЛУИС+ Самара</t>
  </si>
  <si>
    <t>479915</t>
  </si>
  <si>
    <t>Шкаф с оптической патч панелью и коммутатором размещается на установке для развязки и подключения бронированных кабелей от полевых коммутаторов и кабелей до серверной стойки с ПТК
Получен счет Луис+</t>
  </si>
  <si>
    <t>Сетевая карта NVidia/Mellanox, с лицензиями поддержки служб DPDK</t>
  </si>
  <si>
    <t>Сетевая карта
Количество портов: 2
Чипсет: Mellanox
Поддержка Bypass: нет
Поддерживаемый тип интерфейсов сетевой карты: интерфейсы 100G Base QSFP28
Тип устройства: сетевой адаптер
Тип интерфейсов: 100GBase-X QSFP28
Среда передачи данных: оптика
Скорость интерфейса: 100Gb
Форм-фактор: PCIe 3.0</t>
  </si>
  <si>
    <t>NVIDIA</t>
  </si>
  <si>
    <t>Компенсация замены LR-Link га NVidia</t>
  </si>
  <si>
    <t>Патч-корд оптический FC-LC-SM duplex</t>
  </si>
  <si>
    <t>Патч-корд оптический FC-LC-SM duplex
Тип коннектора 1: FC
Тип коннектора 2: LC
Кабель: одномодовый
Длина: 3 метра</t>
  </si>
  <si>
    <t>noname</t>
  </si>
  <si>
    <t>Патч корд предназначен для соединений ядрового коммутатора с оптическим кроссом стойки с ПТК.
ВНИМАНИЕ: в отгрузочную спецификацию переносится 14 шт ТМЦ, остальное ЗИП и отладочный комплект</t>
  </si>
  <si>
    <t>1/2024-N3-ГОРИЗОНТ</t>
  </si>
  <si>
    <t>Управляемый L3 коммутатор
Количество гигабитных портов RJ-45: 24
Количество портов 10G SFP+: 4
Динамическая маршрутизация RIP, OSPF, BGP
Статическая маршрутизация:
802.1Q VLAN, Selective Q-in-Q, Multicast VLAN
Аутентификация 802.1X, ACL, Port Security
Широкий набор функций QoS для приоритизации трафика
IGMP/MLD Snooping для работы с multicast-трафиком
ERPS, STP/RSTP/MSTP, LoopBack Detection для отказоустойчивости
Администрирование через Web-интерфейс, Telnet, SSH, Console, SNMP
Питание
Напряжение питания: 100-240 VAC
Мощность блоков питания: 
Количество блоков питания: 1 шт
Размеры (Д x Ш x В): 441 x 207 x 44 мм
Вес: 2,74 кг</t>
  </si>
  <si>
    <t>Коммутаторы полевого уровня, обслуживающие датчики измерительной  установки 1D, 2D и др.
P/N: OS3228/A1A</t>
  </si>
  <si>
    <t>Коммутатор Huawei S6730-H48X6C</t>
  </si>
  <si>
    <t>Управляемый L3 коммутатор
48 10GBase-X SFP+ портов
6 40/100GBase-X QSFP28 портов
L2 функционал
Поддержка стекирования: Да
Количество VLAN: 4096
Размер таблицы MAC адресов: 384000
Протоколы L2 резервирования: SEP; ERPS; MSTP; RSTP; STP
Multicast IGMP: v1/v2/v3, PIM-SM, PIM-DM и PIM-SSM
QoS WRED
L3 функционал
Размер таблицы маршрутизации: 256000
Протоколы маршрутизации: Static route; PIM; IS-IS; BGP; OSPF; RIP
Поддержка MPLS: Да
Питание
Напряжение питания: 100-240 VAC
Мощность блоков питания: 600W
Количество блоков питания: 2 шт
Максимальная потребляемая мощность: 274 Вт
Размеры (Ш × Г × В): 442 х 420 х 43,6 мм
Вес: 7.5 кг</t>
  </si>
  <si>
    <t>S6730-H48X6C</t>
  </si>
  <si>
    <t>Коммутатор уровня ядра. Задача агрегация всего трафика окак от полевого уровня так и от точек взаимодействия с коммутатционном оборудовании заказчика.
Код товара: 41037</t>
  </si>
  <si>
    <t>Сетевая карта LR-Link OCP 3.0 2 порта 100G QSFP28 LRES3026PF-OCP</t>
  </si>
  <si>
    <t>Сетевая карта
Количество портов: 2
Чипсет: Intel E810
Поддержка Bypass: нет
Поддерживаемый тип интерфейсов сетевой карты: интерфейсы 100G Base QSFP28
Тип устройства: сетевой адаптер
Тип интерфейсов: 100GBase-X QSFP28
Среда передачи данных: оптика
Скорость интерфейса: 100Gb
Форм-фактор: OCP 3.0</t>
  </si>
  <si>
    <t>LRES3026PF-OCP</t>
  </si>
  <si>
    <t>Серверная сетевая карта, количество интерфейсов - 2,  скорость модулей - 100Gb. Предназначена для установки во все сервера ПТК, проектом предполагается задействовать оба интерфейса.</t>
  </si>
  <si>
    <t>Модуль 100G QSFP28 AOC, дальность до 3м</t>
  </si>
  <si>
    <t>Тип модуля: AOC
Скорость модуля: 100Gbps
Тип оптического волокна: MMF
Длина волны Tx, нм: 850
Форм-фактор модуля: модули QSFP28
Максимальное расстояние, км: 0,003</t>
  </si>
  <si>
    <t>SNR-QSFP28-AOC-3</t>
  </si>
  <si>
    <t>Активный патч корд для соединения серверов ПТК и ядрового коммутатора. Скорость соединения 100Gb.
Один патч-корд резервный, в работе предполагается 6 шт.
Код товара: 19411</t>
  </si>
  <si>
    <t>Модуль SFP LX 20км (14dB)</t>
  </si>
  <si>
    <t>Тип модуля: двухволоконный
Скорость модуля: 1Gbps
Тип оптического волокна: SMF
Длина волны Tx, нм: 1310
Длина волны Rx, нм: 1310
Оптический бюджет, дБ: 14
Мощность излучения, дБм: от -8 до -3
Чувствительность приемника, дБм: -22
Максимально допустимый уровень, дБм: -3
Форм-фактор модуля: модули SFP
Тип коннектора модуля: LC
Максимальное расстояние, км: 20
Расстояние передачи (диапазон), км: 10-20</t>
  </si>
  <si>
    <t>SNR-SFP-LX-20</t>
  </si>
  <si>
    <t>Модуль SFP с скоростью передачи 1Gb, тип оптики одномод. Предназначен для подключения вспомагательного оборудования от заказчика.
Код товара: 00537</t>
  </si>
  <si>
    <t>Тип модуля: 1000 Base-T
Скорость модуля: 1Gbps
Форм-фактор модуля: модули SFP
Тип коннектора модуля: RJ45
Диапазон рабочих температур, °C: от -5 до 70
Максимальное расстояние, км: 0,1</t>
  </si>
  <si>
    <t>Модуль SFP с скоростью передачи 1Gb, тип интерфейса RG45. Предназначен для подключения вспомагательного оборудования такого как ИБП, операторские рабочие места и оборудования от заказчика.
Код товара: 02132</t>
  </si>
  <si>
    <t>Модуль SFP+ оптический, дальность до 2км (9dB), 1310нм</t>
  </si>
  <si>
    <t>Тип модуля: двухволоконный
Скорость модуля: 10Gbps
Тип оптического волокна: SMF
Длина волны Tx, нм: 1310
Длина волны Rx, нм: 1310
Оптический бюджет, дБ: 9
Мощность излучения, дБм: -5
Чувствительность приемника, дБм: -14
Максимально допустимый уровень, дБм: 0,5
Форм-фактор модуля: модули SFP+
Тип коннектора модуля: LC
Максимальное расстояние, км: 2
Расстояние передачи (диапазон): км
Расстояние передачи (диапазон) км: 1-10</t>
  </si>
  <si>
    <t>SNR-SFP+LR-2</t>
  </si>
  <si>
    <t>Модуль SFP+ с скоростью передачи 10Gb, тип оптики одномод. Предназначен для подключения коммутаторов полевого уровня Origo.
Два модуля резервные, в работе предполагается 24 шт. Расчет следующий: 3 коммутатора Origo по 4 порта 10Gb т.е. 12 шт, а также на прнимающей сторон коммутатора Huawei также 12 шт, итоге 24 шт.
Код товара: 02132</t>
  </si>
  <si>
    <t>1/2024-N2-ГОРИЗОНТ</t>
  </si>
  <si>
    <t xml:space="preserve">Комплект серверного оборудования для формирования ПТК </t>
  </si>
  <si>
    <t>Сервер Gigabyte двухсокетный Application, 2U</t>
  </si>
  <si>
    <t>Сервер Gigabyte R282-N81 2U 2*Xeon Gold 6338 (2.00-
3.20GHz/48MB/32c/64t) 8*16GB 2*NVMe960GB
VROCSTANMOD 18x2,5''SATA/SAS
8x2,5''SATA/SAS/NVMe 2*1GE 2*1600W Rails</t>
  </si>
  <si>
    <t>Gigabyte</t>
  </si>
  <si>
    <t>Киберкуб</t>
  </si>
  <si>
    <t>Сервер двухсокетный 2U, основа ПТК application уровня. Данные сервера предназначены для обеспечения ПО работающее с измерительными датчиками 1D и 2D.</t>
  </si>
  <si>
    <t>Сервер Gigabyte двухсокетный DBMS, 2U</t>
  </si>
  <si>
    <t>Сервер Gigabyte R282-N81 2U 2*Xeon Gold 6338 (2.00-
3.20GHz/48MB/32c/64t) 16x16GB 2*NVMe3.84TB
VROCSTANMOD 2*SSD960GB 6*SSD7.64TB LSI9361-8I
w/batt SASRAID0-6 18x2,5''SATA/SAS
8x2,5''SATA/SAS/NVMe 2*1GE 2*1600W Rails</t>
  </si>
  <si>
    <t>Сервер двухсокетный 2U, основа ПТК уровня DBM, NAS, координатор кластера виртуализации.</t>
  </si>
  <si>
    <t>1/2024-N5-ГОРИЗОНТ</t>
  </si>
  <si>
    <t xml:space="preserve">Патч корд предназначен для соединений ядрового коммутатора с оптическим кроссом стойки с ПТК.
</t>
  </si>
  <si>
    <t xml:space="preserve">VER COLLECTION </t>
  </si>
  <si>
    <t>COEFFICIENT MARKUP</t>
  </si>
  <si>
    <t>PRICE UNIT $SALE</t>
  </si>
  <si>
    <t>COST DEAL $SALE</t>
  </si>
  <si>
    <t>DISCOUNT PERCENT</t>
  </si>
  <si>
    <t>DISCOUNT MONEY</t>
  </si>
  <si>
    <t>FORMULA SPECIFIC COST</t>
  </si>
  <si>
    <t>PRICE UNIT $TOTAL</t>
  </si>
  <si>
    <t>COST $TOTAL</t>
  </si>
  <si>
    <t>DURATION SALE $TOTAL</t>
  </si>
  <si>
    <t>isSUPPLIED</t>
  </si>
  <si>
    <t>isPROCESSING</t>
  </si>
  <si>
    <t>COMMENT CUSTOMER</t>
  </si>
  <si>
    <t>Резервный коммутатор, в соответствии с договоренностью с заказчиком</t>
  </si>
  <si>
    <t>Модули для межблочной коммутации, для ядрового коммутатора</t>
  </si>
  <si>
    <t>Оптический патч-корд, для межблочной коммутации</t>
  </si>
  <si>
    <t>Медный патч-корд 6 категории, для межблочной коммутации</t>
  </si>
  <si>
    <t>Оптическая кросс панель для коммутации оптики полевого уровня</t>
  </si>
  <si>
    <t>Комплект предназначен для "сшития" гибкой оптики с магистральным каналом на серверную стойку и инжекции локальных вычислительных устройств в сеть ПТК</t>
  </si>
  <si>
    <t>4</t>
  </si>
  <si>
    <t>2.4</t>
  </si>
  <si>
    <t>1/2024-n4-горизонт-ver_3-set_2.4-true</t>
  </si>
  <si>
    <t>4.5</t>
  </si>
  <si>
    <t>1/2024-n4-горизонт-ver_3-set_4.5-false</t>
  </si>
  <si>
    <t>4.6</t>
  </si>
  <si>
    <t>1/2024-n4-горизонт-ver_3-set_4.6-true</t>
  </si>
  <si>
    <t>3.1</t>
  </si>
  <si>
    <t>1/2024-n4-горизонт-ver_3-set_3.1-true</t>
  </si>
  <si>
    <t>3.2</t>
  </si>
  <si>
    <t>1/2024-n4-горизонт-ver_3-set_3.2-true</t>
  </si>
  <si>
    <t>3.3</t>
  </si>
  <si>
    <t>1/2024-n4-горизонт-ver_3-set_3.3-true</t>
  </si>
  <si>
    <t>3.4</t>
  </si>
  <si>
    <t>1/2024-n4-горизонт-ver_3-set_3.4-true</t>
  </si>
  <si>
    <t>3.5</t>
  </si>
  <si>
    <t>1/2024-n4-горизонт-ver_3-set_3.5-true</t>
  </si>
  <si>
    <t>5.1</t>
  </si>
  <si>
    <t>1/2024-n4-горизонт-ver_3-set_5.1-true</t>
  </si>
  <si>
    <t>2.5</t>
  </si>
  <si>
    <t>1/2024-n4-горизонт-ver_3-set_2.5-false</t>
  </si>
  <si>
    <t>3.6</t>
  </si>
  <si>
    <t>1/2024-n4-горизонт-ver_3-set_3.6-true</t>
  </si>
  <si>
    <t>3</t>
  </si>
  <si>
    <t>2.1</t>
  </si>
  <si>
    <t>1/2024-n3-горизонт-ver_1-set_2.1-true</t>
  </si>
  <si>
    <t>2.2</t>
  </si>
  <si>
    <t>1/2024-n3-горизонт-ver_1-set_2.2-true</t>
  </si>
  <si>
    <t>2.3</t>
  </si>
  <si>
    <t>1/2024-n3-горизонт-ver_1-set_2.3-true</t>
  </si>
  <si>
    <t>4.1</t>
  </si>
  <si>
    <t>1/2024-n3-горизонт-ver_1-set_4.1-true</t>
  </si>
  <si>
    <t>4.2</t>
  </si>
  <si>
    <t>1/2024-n3-горизонт-ver_1-set_4.2-true</t>
  </si>
  <si>
    <t>4.3</t>
  </si>
  <si>
    <t>1/2024-n3-горизонт-ver_1-set_4.3-true</t>
  </si>
  <si>
    <t>4.4</t>
  </si>
  <si>
    <t>1/2024-n3-горизонт-ver_1-set_4.4-true</t>
  </si>
  <si>
    <t>2</t>
  </si>
  <si>
    <t>1.1</t>
  </si>
  <si>
    <t>1/2024-n2-горизонт-ver_1-set_1.1-true</t>
  </si>
  <si>
    <t>1.2</t>
  </si>
  <si>
    <t>1/2024-n2-горизонт-ver_1-set_1.2-true</t>
  </si>
  <si>
    <t>6.1</t>
  </si>
  <si>
    <t>1/2024-n5-горизонт-ver_1-set_6.1-true</t>
  </si>
  <si>
    <t>5</t>
  </si>
  <si>
    <t>All</t>
  </si>
  <si>
    <t>(несколько элементов)</t>
  </si>
  <si>
    <t>НАИМЕНОВАНИЕ ПОЗИЦИИ</t>
  </si>
  <si>
    <t>Сумма по столбцу QUANTITY TOTAL</t>
  </si>
  <si>
    <t>Сумма по столбцу COST PRICE $PURCHASE</t>
  </si>
  <si>
    <t>Комплект активного сетевого оборудования</t>
  </si>
  <si>
    <t>Общий итог</t>
  </si>
  <si>
    <t>IDprojectfull</t>
  </si>
  <si>
    <t>GENERAL CONTRACTOR</t>
  </si>
  <si>
    <t>PROJECT CHIEF ENGINEER</t>
  </si>
  <si>
    <t>1/2022-N1-МАС</t>
  </si>
  <si>
    <t>none</t>
  </si>
  <si>
    <t>2/2022-N1-МАС</t>
  </si>
  <si>
    <t>3/2022-N1-МАС</t>
  </si>
  <si>
    <t>4/2022-N1-МАС</t>
  </si>
  <si>
    <t>5/2022-N1-МАС</t>
  </si>
  <si>
    <t>6/2022-N1-МАС</t>
  </si>
  <si>
    <t>7/2022-N1-МАС</t>
  </si>
  <si>
    <t>8/2022-N1-МАС</t>
  </si>
  <si>
    <t>9/2022-N1-МАС</t>
  </si>
  <si>
    <t>10/2022-N1-МАС</t>
  </si>
  <si>
    <t>11/2022-N1-МАС</t>
  </si>
  <si>
    <t>12/2022-N1-МАС</t>
  </si>
  <si>
    <t>13/2022-N1-МАС</t>
  </si>
  <si>
    <t>14/2022-N1-МАС</t>
  </si>
  <si>
    <t>15/2022-N1-МАС</t>
  </si>
  <si>
    <t>16/2022-N1-МАС</t>
  </si>
  <si>
    <t>17/2022-N1-МАС</t>
  </si>
  <si>
    <t>18/2022-N1-МАС</t>
  </si>
  <si>
    <t>19/2022-N1-МАС</t>
  </si>
  <si>
    <t>20/2022-N1-МАС</t>
  </si>
  <si>
    <t>21/2022-N1-МАС</t>
  </si>
  <si>
    <t>11/2023-N0-МАС</t>
  </si>
  <si>
    <t>29/2024-N0-МАС</t>
  </si>
  <si>
    <t>1/2024-N0-ГОРИЗОНТ</t>
  </si>
  <si>
    <t>2/2024-N0-ГОРИЗОНТ</t>
  </si>
  <si>
    <t>2/2024-N0-МАС</t>
  </si>
  <si>
    <t>1/2023-N1-МАС</t>
  </si>
  <si>
    <t>2/2023-N1-МАС</t>
  </si>
  <si>
    <t>3/2023-N1-МАС</t>
  </si>
  <si>
    <t>4/2023-N1-МАС</t>
  </si>
  <si>
    <t>5/2023-N1-МАС</t>
  </si>
  <si>
    <t>6/2023-N1-МАС</t>
  </si>
  <si>
    <t>7/2023-N1-МАС</t>
  </si>
  <si>
    <t>8/2023-N1-ГОРИЗОНТ</t>
  </si>
  <si>
    <t>9/2023-N1-ГОРИЗОНТ</t>
  </si>
  <si>
    <t>10/2023-N1-МАС</t>
  </si>
  <si>
    <t>12/2023-N1-МАС</t>
  </si>
  <si>
    <t>12/2023-N1-ГОРИЗОНТ</t>
  </si>
  <si>
    <t>13/2023-N1-МАС</t>
  </si>
  <si>
    <t>14/2023-N1-МАС</t>
  </si>
  <si>
    <t>15/2023-N1-МАС</t>
  </si>
  <si>
    <t>16/2023-N1-МАС</t>
  </si>
  <si>
    <t>5/2024-N1-МАС</t>
  </si>
  <si>
    <t>1/2024-N1-ГОРИЗОНТ</t>
  </si>
  <si>
    <t>2/2024-N1-МАС</t>
  </si>
  <si>
    <t>3/2024-N1-МАС</t>
  </si>
  <si>
    <t>4/2024-N1-МАС</t>
  </si>
  <si>
    <t>5/2024-N2-МАС</t>
  </si>
  <si>
    <t>6/2024-N1-МАС</t>
  </si>
  <si>
    <t>7/2024-N1-МАС</t>
  </si>
  <si>
    <t>Каргаполова Мария Петровна</t>
  </si>
  <si>
    <t>8/2024-N1-МАС</t>
  </si>
  <si>
    <t>9/2024-N1-МАС</t>
  </si>
  <si>
    <t>10/2024-N1-МАС</t>
  </si>
  <si>
    <t>11/2024-N1-МАС</t>
  </si>
  <si>
    <t>12/2024-N1-МАС</t>
  </si>
  <si>
    <t>13/2024-N1-МАС</t>
  </si>
  <si>
    <t>14/2024-N1-МАС</t>
  </si>
  <si>
    <t>15/2024-N1-МАС</t>
  </si>
  <si>
    <t>16/2024-N1-МАС</t>
  </si>
  <si>
    <t>17/2024-N1-МАС</t>
  </si>
  <si>
    <t>18/2024-N1-МАС</t>
  </si>
  <si>
    <t>19/2024-N1-МАС</t>
  </si>
  <si>
    <t>20/2024-N1-МАС</t>
  </si>
  <si>
    <t>21/2024-N1-МАС</t>
  </si>
  <si>
    <t>22/2024-N1-МАС</t>
  </si>
  <si>
    <t>23/2024-N1-МАС</t>
  </si>
  <si>
    <t>24/2024-N1-МАС</t>
  </si>
  <si>
    <t>25/2024-N1-МАС</t>
  </si>
  <si>
    <t>1/2025-N1-МАС</t>
  </si>
  <si>
    <t>26/2024-N1-МАС</t>
  </si>
  <si>
    <t>1/2025-N1-ГОРИЗОНТ</t>
  </si>
  <si>
    <t>27/2024-N1-ГОРИЗОНТ</t>
  </si>
  <si>
    <t>28/2024-N1-МАС</t>
  </si>
  <si>
    <t>17/2023-N1-МАС</t>
  </si>
  <si>
    <t>3/2024-N1-ГОРИЗОНТ</t>
  </si>
  <si>
    <t>2/2025-N1-КУКУШКИН ИВАН НИКОЛАЕВИЧ</t>
  </si>
  <si>
    <t>2/2025-N1-ГОРИЗОНТ</t>
  </si>
  <si>
    <t>3/2025-N1-ГОРИЗОНТ</t>
  </si>
  <si>
    <t>4/2025-N0-ГОРИЗОНТ</t>
  </si>
  <si>
    <t>4/2025-N1-ГОРИЗОНТ</t>
  </si>
  <si>
    <t>5/2025-N1-ГОРИЗОНТ</t>
  </si>
  <si>
    <t>5/2025-N0-ГОРИЗОНТ</t>
  </si>
  <si>
    <t>6/2025-N1-МАС</t>
  </si>
  <si>
    <t>7/2025-N1-МАС</t>
  </si>
  <si>
    <t>8/2025-N0-МАС</t>
  </si>
  <si>
    <t>9/2025-N0-КУКУШКИН ИВАН НИКОЛАЕВИЧ</t>
  </si>
  <si>
    <t>9/2025-N1-КУКУШКИН ИВАН НИКОЛАЕВИЧ</t>
  </si>
  <si>
    <t>10/2025-N1-ГОРИЗОНТ</t>
  </si>
  <si>
    <t>11/2025-N0-ГОРИЗОНТ</t>
  </si>
  <si>
    <t>11/2025-N1-ГОРИЗОНТ</t>
  </si>
  <si>
    <t>12/2025-N0-МАС</t>
  </si>
  <si>
    <t>3/2024-N0-ГОРИЗОНТ</t>
  </si>
  <si>
    <t>12/2025-N1-МАС</t>
  </si>
  <si>
    <t>13/2025-N1-МАС</t>
  </si>
  <si>
    <t>14/2025-N1-ГОРИЗОНТ</t>
  </si>
  <si>
    <t>29/2024-N1-МАС</t>
  </si>
  <si>
    <t>15/2025-N0-КУКУШКИН ИВАН НИКОЛАЕВИЧ</t>
  </si>
  <si>
    <t>5/2024-N3-МАС</t>
  </si>
  <si>
    <t>Северсталь</t>
  </si>
  <si>
    <t>10/2024-N0-КУКУШКИН ИВАН НИКОЛАЕВИЧ</t>
  </si>
  <si>
    <t>10/2024-N1-КУКУШКИН ИВАН НИКОЛАЕВИЧ</t>
  </si>
  <si>
    <t>10/2024-N2-КУКУШКИН ИВАН НИКОЛАЕВИЧ</t>
  </si>
  <si>
    <t>10/2024-N3-КУКУШКИН ИВАН НИКОЛАЕВИЧ</t>
  </si>
  <si>
    <t>10/2024-N4-КУКУШКИН ИВАН НИКОЛАЕВИЧ</t>
  </si>
  <si>
    <t>10/2024-N5-КУКУШКИН ИВАН НИКОЛАЕВИЧ</t>
  </si>
  <si>
    <t>10/2024-N6-КУКУШКИН ИВАН НИКОЛАЕВИЧ</t>
  </si>
  <si>
    <t>Кукушкин Иван Николаевич</t>
  </si>
  <si>
    <t>16/2025-N1-МАС</t>
  </si>
  <si>
    <t>Маяк Производственное Объединение</t>
  </si>
  <si>
    <t>17/2025-N1-ГОРИЗОНТ</t>
  </si>
  <si>
    <t>18/2025-N0-МАС</t>
  </si>
  <si>
    <t>ТЦ Базис</t>
  </si>
  <si>
    <t>19/2025-N0-ГОРИЗОНТ</t>
  </si>
  <si>
    <t>20/2025-N0-КУКУШКИН ИВАН НИКОЛАЕВИЧ</t>
  </si>
  <si>
    <t>21/2025-N0-МАС</t>
  </si>
  <si>
    <t>21/2025-N1-МАС</t>
  </si>
  <si>
    <t>22/2025-N0-МАС</t>
  </si>
  <si>
    <t>22/2025-N1-МАС</t>
  </si>
  <si>
    <t>23/2025-N1-МАС</t>
  </si>
  <si>
    <t>Точные машины</t>
  </si>
  <si>
    <t>24/2025-N1-МАС</t>
  </si>
  <si>
    <t>25/2025-N0-МАС</t>
  </si>
  <si>
    <t>25/2025-N1-МАС</t>
  </si>
  <si>
    <t>IDvendor</t>
  </si>
  <si>
    <t>Амперка</t>
  </si>
  <si>
    <t>Знаток</t>
  </si>
  <si>
    <t>Pitsco</t>
  </si>
  <si>
    <t>Arduino</t>
  </si>
  <si>
    <t>Feetech</t>
  </si>
  <si>
    <t>61mcu</t>
  </si>
  <si>
    <t>DFRobot</t>
  </si>
  <si>
    <t>Yahboom</t>
  </si>
  <si>
    <t>Hipe</t>
  </si>
  <si>
    <t>Iarduino</t>
  </si>
  <si>
    <t>LiitoKala</t>
  </si>
  <si>
    <t>Sharp</t>
  </si>
  <si>
    <t>МАСОР</t>
  </si>
  <si>
    <t>МЭЛТ</t>
  </si>
  <si>
    <t>Kingbright</t>
  </si>
  <si>
    <t xml:space="preserve">Texas Instruments </t>
  </si>
  <si>
    <t>Philips</t>
  </si>
  <si>
    <t>Epcos</t>
  </si>
  <si>
    <t>WeMos</t>
  </si>
  <si>
    <t>LG</t>
  </si>
  <si>
    <t>FlySky</t>
  </si>
  <si>
    <t>Nanopix</t>
  </si>
  <si>
    <t xml:space="preserve">Racerstar </t>
  </si>
  <si>
    <t>DJI</t>
  </si>
  <si>
    <t>AKK Technology</t>
  </si>
  <si>
    <t>Eachine</t>
  </si>
  <si>
    <t>Happymodel</t>
  </si>
  <si>
    <t>BETAFPV</t>
  </si>
  <si>
    <t>HQProp</t>
  </si>
  <si>
    <t>Gaoneng</t>
  </si>
  <si>
    <t>Dinogy</t>
  </si>
  <si>
    <t>Bringsmart</t>
  </si>
  <si>
    <t>SkyRC</t>
  </si>
  <si>
    <t>Hyperline</t>
  </si>
  <si>
    <t xml:space="preserve">Waveshare </t>
  </si>
  <si>
    <t>Raspberry PI</t>
  </si>
  <si>
    <t>ClimateGuard</t>
  </si>
  <si>
    <t>Sciosense</t>
  </si>
  <si>
    <t>Samsung</t>
  </si>
  <si>
    <t>Элком+</t>
  </si>
  <si>
    <t>NSGate</t>
  </si>
  <si>
    <t>Kingston</t>
  </si>
  <si>
    <t>SanDisk</t>
  </si>
  <si>
    <t>DIATONE INNOVATIONS</t>
  </si>
  <si>
    <t>BrotherHobby</t>
  </si>
  <si>
    <t>HAKRC</t>
  </si>
  <si>
    <t>DM-RC</t>
  </si>
  <si>
    <t>Readytosky</t>
  </si>
  <si>
    <t>AirParts</t>
  </si>
  <si>
    <t>RadioMaster</t>
  </si>
  <si>
    <t xml:space="preserve">	Rush</t>
  </si>
  <si>
    <t>TBS</t>
  </si>
  <si>
    <t>Radiomaster</t>
  </si>
  <si>
    <t>Foxeer</t>
  </si>
  <si>
    <t>GepRC</t>
  </si>
  <si>
    <t>SpeedyBee</t>
  </si>
  <si>
    <t>Caddx</t>
  </si>
  <si>
    <t>Flywoo</t>
  </si>
  <si>
    <t>Gemfan</t>
  </si>
  <si>
    <t>Xiaomi</t>
  </si>
  <si>
    <t>Горизонт</t>
  </si>
  <si>
    <t>ISA</t>
  </si>
  <si>
    <t>STMicroelectronics</t>
  </si>
  <si>
    <t>Hiper</t>
  </si>
  <si>
    <t xml:space="preserve">Orange </t>
  </si>
  <si>
    <t>Hoco</t>
  </si>
  <si>
    <t>ОКЛИК</t>
  </si>
  <si>
    <t>Baseus</t>
  </si>
  <si>
    <t>Huawei</t>
  </si>
  <si>
    <t>LR-Link</t>
  </si>
  <si>
    <t>MikroTik</t>
  </si>
  <si>
    <t>Яндекс</t>
  </si>
  <si>
    <t>Sonoff</t>
  </si>
  <si>
    <t>Aqara</t>
  </si>
  <si>
    <t>Spruthub</t>
  </si>
  <si>
    <t>Tfortis</t>
  </si>
  <si>
    <t>NIKOMAX</t>
  </si>
  <si>
    <t>МАС</t>
  </si>
  <si>
    <t>IDsupplier</t>
  </si>
  <si>
    <t>COMPANY_LABEL</t>
  </si>
  <si>
    <t>РоботБаза</t>
  </si>
  <si>
    <t>ОЗОН</t>
  </si>
  <si>
    <t>Амперкот</t>
  </si>
  <si>
    <t>Supereyes</t>
  </si>
  <si>
    <t>Platan</t>
  </si>
  <si>
    <t>Robotclass</t>
  </si>
  <si>
    <t>Вольтмастер</t>
  </si>
  <si>
    <t>Fixfly</t>
  </si>
  <si>
    <t>ХоббиРу</t>
  </si>
  <si>
    <t>МИНИБОТ</t>
  </si>
  <si>
    <t>Паркфлаер</t>
  </si>
  <si>
    <t>RC-TODAY.RU</t>
  </si>
  <si>
    <t>PLUS3</t>
  </si>
  <si>
    <t>IP-mania</t>
  </si>
  <si>
    <t>X-models</t>
  </si>
  <si>
    <t>RcDrive</t>
  </si>
  <si>
    <t>RC-GO.RU</t>
  </si>
  <si>
    <t>Air-hobby.ru</t>
  </si>
  <si>
    <t>RCcopter.ru</t>
  </si>
  <si>
    <t>MyDrone</t>
  </si>
  <si>
    <t>CompactTool</t>
  </si>
  <si>
    <t>RoboShop</t>
  </si>
  <si>
    <t>Duino</t>
  </si>
  <si>
    <t>Умные модули</t>
  </si>
  <si>
    <t>Город карт</t>
  </si>
  <si>
    <t>Robot-kit</t>
  </si>
  <si>
    <t>18650pro.ru</t>
  </si>
  <si>
    <t>ДНС</t>
  </si>
  <si>
    <t>Ситилинк</t>
  </si>
  <si>
    <t>OnPad</t>
  </si>
  <si>
    <t>Альбитех</t>
  </si>
  <si>
    <t>Чип и Дип</t>
  </si>
  <si>
    <t>Parts Direct</t>
  </si>
  <si>
    <t>ДВССЫЛ("TabHandbookUnit[UNITS]")</t>
  </si>
  <si>
    <t>кп</t>
  </si>
  <si>
    <t>чел/час</t>
  </si>
  <si>
    <t>этап</t>
  </si>
  <si>
    <t>COMMENT</t>
  </si>
  <si>
    <t>IDconfig</t>
  </si>
  <si>
    <t>CONFIG_JSON</t>
  </si>
  <si>
    <t>Convert_TabSpecificationWork_21_1</t>
  </si>
  <si>
    <t>{
    "TabSpecificationWork": {
        "1": {
                "RenameColumn": [
                        {"№ п/п":                        "IDnum"},
                        {"№ ИСХ":                        "IDsource"},
                        {"№ КОМПЛЕКТА":                  "IDset"},
                        {"№ ПОРЯДКОВЫЙ В КОМПЛЕКТЕ":     "NUM SEQUENCE SET"},
                        {"№ ПОЛНЫЙ":                     "NUM FULL SET"},
                        {"ОПИСАНИЕ КОМПЛЕКТА":           "DESCRIPTION SET"},
                        {"НАИМЕНОВАНИЕ":                 "NAME PRODUCT"},
                        {"ОПИСАНИЕ/ХАРАКТЕРИСТИКИ":      "DESCRIPTION PRODUCT"},
                        {"ПОСТАВЩИК":                    "SUPPLIER"},
                        {"АРТИКУЛ ПОСТАВЩИК":            "ARTICLE SUPPLIER"},
                        {"АРТИКУЛ МАС":                  "ARTICLE INTERNAL"},
                        {"ЕД ИЗМ":                       "UNITS"},
                        {"КОЛИЧЕСТВО В КОМПЛЕКТЕ":       "QUANTITY SET"},
                        {"КОМПЛЕКТОВ В ПОСТАВКЕ":        "QUANTITY SHIPPED SET"},
                        {"КОЛИЧЕСТВО ИТОГО":             "QUANTITY TOTAL"},
                        {"КОЛИЧЕСТВО У ПОСТАВ-КА":       "QUANTITY SUPPLIER"},
                        {"ЦЕНА ЗА ЕД. $ЗАКУП":           "PRICE UNIT $PURCHASE"},
                        {"СЕБЕСТОИМОСТЬ $ЗАКУП":         "COST PRICE $PURCHASE"},
                        {"ПРИМЕЧАНИЕ":                   "COMMENT WORK"},
                        {"ССЫЛКА":                       "URL PRODUCT"},
                        {"ИЗОБРАЖЕНИЕ ТМЦ":              "IMAGE PRODUCT"}
                ]
        },
        "2": {
                "InsertColumn": [
                        "NUM PROJECT",
                        "NUM ORDER",
                        "VER COLLECTION",
                        "isSHIPPED",
                        "HASH COLLECTION",
                        "BRAND",
                        "TCP SOURCE"
                ]
        },
        "3": {
                "ReorderColumn": [
                        "IDnum",
                        "IDsource",
                        "NUM PROJECT",
                        "NUM ORDER",
                        "VER COLLECTION",
                        "DESCRIPTION SET",
                        "IDset",
                        "NUM SEQUENCE SET",
                        "NUM FULL SET",
                        "isSHIPPED",
                        "HASH COLLECTION",
                        "NAME PRODUCT",
                        "DESCRIPTION PRODUCT",
                        "BRAND",
                        "SUPPLIER",
                        "ARTICLE SUPPLIER",
                        "ARTICLE INTERNAL",
                        "UNITS",
                        "QUANTITY SET",
                        "QUANTITY SHIPPED SET",
                        "QUANTITY TOTAL",
                        "QUANTITY SUPPLIER",
                        "PRICE UNIT $PURCHASE",
                        "COST PRICE $PURCHASE",
                        "TCP SOURCE",
                        "COMMENT WORK",
                        "URL PRODUCT",
                        "IMAGE PRODUCT"
                ]
        },
        "4": {
                "RemoveXorColumn": [
                        "IDnum",
                        "IDsource",
                        "NUM PROJECT",
                        "NUM ORDER",
                        "VER COLLECTION",
                        "DESCRIPTION SET",
                        "IDset",
                        "NUM SEQUENCE SET",
                        "NUM FULL SET",
                        "isSHIPPED",
                        "HASH COLLECTION",
                        "NAME PRODUCT",
                        "DESCRIPTION PRODUCT",
                        "BRAND",
                        "SUPPLIER",
                        "ARTICLE SUPPLIER",
                        "ARTICLE INTERNAL",
                        "UNITS",
                        "QUANTITY SET",
                        "QUANTITY SHIPPED SET",
                        "QUANTITY TOTAL",
                        "QUANTITY SUPPLIER",
                        "PRICE UNIT $PURCHASE",
                        "COST PRICE $PURCHASE",
                        "TCP SOURCE",
                        "COMMENT WORK",
                        "URL PRODUCT",
                        "IMAGE PRODUCT"
                ]
        }
    }
}</t>
  </si>
  <si>
    <t>Конфигурации для конвертирования в промежуточный вариант спецификациив старом формате rev21 в новый формат текущего файла. Данная конфигурация предназначена "вытянуть" такой объем  информации из rev21 который соответствует формату таблицы "TabSpecificationWork_1"</t>
  </si>
  <si>
    <t>Convert_TabSpecificationWork_21_2</t>
  </si>
  <si>
    <t>{
    "TabSpecificationWork": {
        "1": {
                "RenameColumn": [
                        {"КОЭФФИЦИЕНТ НАЦЕНКИ":"COEFFICIENT MARKUP"},
                        {"ЦЕНА ЗА ЕД. $РЕАЛИЗАЦИЯ":"PRICE UNIT $SALE"},
                        {"СТОИМОСТЬ $РЕАЛИЗАЦИЯ":"COST DEAL $SALE"},
                        {"ЦЕНА ЗА ЕД. $ИТОГ":"PRICE UNIT $TOTAL"},
                        {"СТОИМОСТЬ $ИТОГ":"COST $TOTAL"}
                ]
        },
        "2": {
                "InsertColumn": [
                        "HASH COLLECTION",
                        "DISCOUNT PERCENT",
                        "DISCOUNT MONEY",
                        "FORMULA SPECIFIC COST",
                        "DURATION SALE $TOTAL",
                        "isSUPPLIED",
                        "isPROCESSING",
                        "COMMENT CUSTOMER"
                ]
        },
        "3": {
                "ReorderColumn": [
                        "HASH COLLECTION",
                        "COEFFICIENT MARKUP",
                        "PRICE UNIT $SALE",
                        "COST DEAL $SALE",
                        "DISCOUNT PERCENT",
                        "DISCOUNT MONEY",
                        "FORMULA SPECIFIC COST",
                        "PRICE UNIT $TOTAL",
                        "COST $TOTAL",
                        "DURATION SALE $TOTAL",
                        "isSUPPLIED",
                        "isPROCESSING",
                        "COMMENT CUSTOMER"
                ]
        },
        "4": {
                "RemoveXorColumn": [
                        "HASH COLLECTION",
                        "COEFFICIENT MARKUP",
                        "PRICE UNIT $SALE",
                        "COST DEAL $SALE",
                        "DISCOUNT PERCENT",
                        "DISCOUNT MONEY",
                        "FORMULA SPECIFIC COST",
                        "PRICE UNIT $TOTAL",
                        "COST $TOTAL",
                        "DURATION SALE $TOTAL",
                        "isSUPPLIED",
                        "isPROCESSING",
                        "COMMENT CUSTOMER"
                ]
        }
    }
}</t>
  </si>
  <si>
    <t>Конфигурации для конвертирования в промежуточный вариант спецификациив старом формате rev21 в новый формат текущего файла. Данная конфигурация предназначена "вытянуть" такой объем  информации из rev21 который соответствует формату таблицы "TabSpecificationWork_2"</t>
  </si>
  <si>
    <t>Convert_TabSpecificationWork_20_1</t>
  </si>
  <si>
    <t>{
    "TabSpecificationWork": {
        "1": {
                "RenameColumn": [
                        {"№ п/п":                        "IDnum"},
                        {"№ ИСХ":                        "IDsource"},
                        {"№ КОМПЛЕКТА":                  "IDset"},
                        {"№ ПОРЯДКОВЫЙ В КОМПЛЕКТЕ":     "NUM SEQUENCE SET"},
                        {"№ ПОЛНЫЙ":                     "NUM FULL SET"},
                        {"ОПИСАНИЕ КОМПЛЕКТА":           "DESCRIPTION SET"},
                        {"НАИМЕНОВАНИЕ":                 "NAME PRODUCT"},
                        {"ОПИСАНИЕ/ХАРАКТЕРИСТИКИ":      "DESCRIPTION PRODUCT"},
                        {"БРЕНД":                        "BRAND"},
                        {"ПОСТАВЩИК":                    "SUPPLIER"},
                        {"АРТИКУЛ ПОСТАВЩИК":            "ARTICLE SUPPLIER"},
                        {"АРТИКУЛ МАС":                  "ARTICLE INTERNAL"},
                        {"ЕД ИЗМ":                       "UNITS"},
                        {"КОЛИЧЕСТВО В КОМПЛЕКТЕ":       "QUANTITY SET"},
                        {"КОМПЛЕКТОВ В ПОСТАВКЕ":        "QUANTITY SHIPPED SET"},
                        {"КОЛИЧЕСТВО ИТОГО":             "QUANTITY TOTAL"},
                        {"КОЛИЧЕСТВО У ПОСТАВ-КА":       "QUANTITY SUPPLIER"},
                        {"ЦЕНА ЗА ЕД. $ЗАКУП":           "PRICE UNIT $PURCHASE"},
                        {"СЕБЕСТОИМОСТЬ $ЗАКУП":         "COST PRICE $PURCHASE"},
                        {"ПРИМЕЧАНИЕ":                   "COMMENT WORK"},
                        {"ССЫЛКА":                       "URL PRODUCT"},
                        {"ИЗОБРАЖЕНИЕ ТМЦ":              "IMAGE PRODUCT"}
                ]
        },
        "2": {
                "InsertColumn": [
                        "NUM PROJECT",
                        "NUM ORDER",
                        "VER COLLECTION",
                        "isSHIPPED",
                        "HASH COLLECTION",
                        "TCP SOURCE"
                ]
        },
        "3": {
                "ReorderColumn": [
                        "IDnum",
                        "IDsource",
                        "NUM PROJECT",
                        "NUM ORDER",
                        "VER COLLECTION",
                        "DESCRIPTION SET",
                        "IDset",
                        "NUM SEQUENCE SET",
                        "NUM FULL SET",
                        "isSHIPPED",
                        "HASH COLLECTION",
                        "NAME PRODUCT",
                        "DESCRIPTION PRODUCT",
                        "BRAND",
                        "SUPPLIER",
                        "ARTICLE SUPPLIER",
                        "ARTICLE INTERNAL",
                        "UNITS",
                        "QUANTITY SET",
                        "QUANTITY SHIPPED SET",
                        "QUANTITY TOTAL",
                        "QUANTITY SUPPLIER",
                        "PRICE UNIT $PURCHASE",
                        "COST PRICE $PURCHASE",
                        "TCP SOURCE",
                        "COMMENT WORK",
                        "URL PRODUCT",
                        "IMAGE PRODUCT"
                ]
        },
        "4": {
                "RemoveXorColumn": [
                        "IDnum",
                        "IDsource",
                        "NUM PROJECT",
                        "NUM ORDER",
                        "VER COLLECTION",
                        "DESCRIPTION SET",
                        "IDset",
                        "NUM SEQUENCE SET",
                        "NUM FULL SET",
                        "isSHIPPED",
                        "HASH COLLECTION",
                        "NAME PRODUCT",
                        "DESCRIPTION PRODUCT",
                        "BRAND",
                        "SUPPLIER",
                        "ARTICLE SUPPLIER",
                        "ARTICLE INTERNAL",
                        "UNITS",
                        "QUANTITY SET",
                        "QUANTITY SHIPPED SET",
                        "QUANTITY TOTAL",
                        "QUANTITY SUPPLIER",
                        "PRICE UNIT $PURCHASE",
                        "COST PRICE $PURCHASE",
                        "TCP SOURCE",
                        "COMMENT WORK",
                        "URL PRODUCT",
                        "IMAGE PRODUCT"
                ]
        }
    }
}</t>
  </si>
  <si>
    <t>Конфигурации для конвертирования в промежуточный вариант спецификациив старом формате rev20 в новый формат текущего файла. Данная конфигурация предназначена "вытянуть" такой объем  информации из rev20 который соответствует формату таблицы "TabSpecificationWork_1"</t>
  </si>
  <si>
    <t>Convert_TabSpecificationWork_20_2</t>
  </si>
  <si>
    <t>Конфигурации для конвертирования в промежуточный вариант спецификациив старом формате rev20 в новый формат текущего файла. Данная конфигурация предназначена "вытянуть" такой объем  информации из rev20 который соответствует формату таблицы "TabSpecificationWork_2"</t>
  </si>
  <si>
    <t>JOIN_rev22_rev21</t>
  </si>
  <si>
    <t>{
        "TabSpecificationWork_1": {
                "1": {
                        "RunJOINdata": []
                }
        },
        "TabSpecificationWork_211": {
                "1": {}
        },
        "TabSpecificationWork_201": {
                "1": {}
        }
}</t>
  </si>
  <si>
    <t>Конфигурация объединения данных (не таблиц !) двух таблиц. Таблицы "TabSpecificationWork_1" из файла спецификации rev22 и таблицы "TabSpecificationWork_211" rev21</t>
  </si>
  <si>
    <t>RunLeftJOIN_tab1_tab2</t>
  </si>
  <si>
    <t>{
        "TabSpecificationWork_1": {
                "1": {
                        "RunLeftJOINstructure": []
                }
        },
        "TabSpecificationWork_2": {
                "1": {}
        }
}</t>
  </si>
  <si>
    <t>Конфигурация выполняет объединение  "TabSpecificationWork_1" и "TabSpecificationWork_2", для получение полной таблицы "TabSpecificationWork"</t>
  </si>
  <si>
    <t>26/2025-N1-ГОРИЗОНТ</t>
  </si>
  <si>
    <t>27/2025-N0-МАС</t>
  </si>
  <si>
    <t>Кукушкин И.Н.</t>
  </si>
  <si>
    <t>4/2025-N2-ГОРИЗОНТ</t>
  </si>
  <si>
    <t>25/2025-N2-МАС</t>
  </si>
  <si>
    <t>21/2025-N2-МАС</t>
  </si>
  <si>
    <t>28/2025-N1-МАС</t>
  </si>
  <si>
    <t>25/2025-N3-МАС</t>
  </si>
  <si>
    <t>27/2025-N1-МАС</t>
  </si>
  <si>
    <t>6.3</t>
  </si>
  <si>
    <t>1/2026-N1-МАС</t>
  </si>
  <si>
    <t>1/2026-N1-ГОРИЗОНТ</t>
  </si>
  <si>
    <t>1/2024-n5-горизонт-ver_1-set_6.3-true</t>
  </si>
  <si>
    <t>Серверная сетевая карта, количество интерфейсов - 2,  скорость модулей - 100Gb. Используется для организации работы генератора DPDK на стенде</t>
  </si>
  <si>
    <t>VAT RATE CONTRACTOR $TOTAL</t>
  </si>
  <si>
    <t>VAT ADD PRICE UNIT $TOTAL</t>
  </si>
  <si>
    <t>PRICE VAT UNIT $TOTAL</t>
  </si>
  <si>
    <t>COST ADD VAT $TOTAL</t>
  </si>
  <si>
    <t>COST VAT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</si>
</sst>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 _₽_-;\-* #,##0.00\ _₽_-;_-* &quot;-&quot;??\ _₽_-;_-@_-"/>
  </numFmts>
  <fonts count="20"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theme="8"/>
      </patternFill>
    </fill>
    <fill>
      <patternFill patternType="solid">
        <fgColor theme="1" tint="0.24994659260841701"/>
        <bgColor theme="8"/>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theme="1"/>
      </top>
      <bottom style="medium">
        <color theme="1"/>
      </bottom>
      <diagonal/>
    </border>
    <border>
      <left style="dashed">
        <color auto="1"/>
      </left>
      <right style="dashed">
        <color auto="1"/>
      </right>
      <top style="dashed">
        <color auto="1"/>
      </top>
      <bottom style="dashed">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dashed">
        <color auto="1"/>
      </left>
      <right style="dashed">
        <color auto="1"/>
      </right>
      <top/>
      <bottom/>
      <diagonal/>
    </border>
    <border>
      <left style="dashed">
        <color auto="1"/>
      </left>
      <right style="dashed">
        <color auto="1"/>
      </right>
      <top/>
      <bottom style="dashed">
        <color auto="1"/>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43" fontId="1" fillId="0" borderId="0" applyFont="0" applyFill="0" applyBorder="0" applyAlignment="0" applyProtection="0"/>
  </cellStyleXfs>
  <cellXfs count="68">
    <xf numFmtId="0" fontId="0" fillId="0" borderId="0" xfId="0"/>
    <xf numFmtId="0" fontId="0" fillId="0" borderId="0" xfId="0" applyAlignment="1">
      <alignment horizontal="center" vertical="top"/>
    </xf>
    <xf numFmtId="49" fontId="0" fillId="0" borderId="0" xfId="0" applyNumberFormat="1"/>
    <xf numFmtId="49" fontId="0" fillId="0" borderId="0" xfId="0" applyNumberFormat="1" applyAlignment="1">
      <alignment horizontal="center" vertical="top"/>
    </xf>
    <xf numFmtId="49" fontId="0" fillId="0" borderId="0" xfId="0" applyNumberFormat="1" applyAlignment="1">
      <alignment horizontal="center" vertical="top" wrapText="1"/>
    </xf>
    <xf numFmtId="49" fontId="0" fillId="0" borderId="10" xfId="0" applyNumberFormat="1" applyBorder="1" applyAlignment="1">
      <alignment horizontal="left" vertical="top" wrapText="1"/>
    </xf>
    <xf numFmtId="49" fontId="0" fillId="0" borderId="10" xfId="0" applyNumberFormat="1" applyBorder="1" applyAlignment="1">
      <alignment horizontal="left" vertical="center" indent="1"/>
    </xf>
    <xf numFmtId="0" fontId="0" fillId="0" borderId="11" xfId="0" applyBorder="1" applyAlignment="1">
      <alignment horizontal="center" vertical="center"/>
    </xf>
    <xf numFmtId="49" fontId="0" fillId="0" borderId="12" xfId="0" applyNumberFormat="1" applyBorder="1" applyAlignment="1">
      <alignment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indent="1"/>
    </xf>
    <xf numFmtId="49" fontId="13" fillId="34" borderId="13" xfId="0" applyNumberFormat="1" applyFont="1" applyFill="1" applyBorder="1" applyAlignment="1">
      <alignment horizontal="center" vertical="top" wrapText="1"/>
    </xf>
    <xf numFmtId="0" fontId="13" fillId="33" borderId="0" xfId="0" applyFont="1" applyFill="1" applyAlignment="1">
      <alignment horizontal="center" vertical="top" wrapText="1"/>
    </xf>
    <xf numFmtId="43" fontId="13" fillId="33" borderId="0" xfId="44" applyFont="1" applyFill="1" applyBorder="1" applyAlignment="1">
      <alignment horizontal="center" vertical="top" wrapText="1"/>
    </xf>
    <xf numFmtId="0" fontId="0" fillId="0" borderId="0" xfId="0" applyAlignment="1">
      <alignment vertical="top"/>
    </xf>
    <xf numFmtId="0" fontId="0" fillId="0" borderId="14" xfId="0" applyBorder="1" applyAlignment="1">
      <alignment horizontal="center" vertical="center"/>
    </xf>
    <xf numFmtId="49" fontId="0" fillId="0" borderId="14" xfId="0" applyNumberFormat="1" applyBorder="1" applyAlignment="1">
      <alignment horizontal="center" vertical="center"/>
    </xf>
    <xf numFmtId="0" fontId="0" fillId="0" borderId="14" xfId="0" applyBorder="1" applyAlignment="1">
      <alignment horizontal="left" vertical="center"/>
    </xf>
    <xf numFmtId="0" fontId="0" fillId="0" borderId="0" xfId="0" applyAlignment="1">
      <alignment vertical="center"/>
    </xf>
    <xf numFmtId="0" fontId="0" fillId="0" borderId="0" xfId="0" pivotButton="1" applyAlignment="1">
      <alignment vertical="top" wrapText="1"/>
    </xf>
    <xf numFmtId="43" fontId="0" fillId="0" borderId="0" xfId="44" applyFont="1" applyAlignment="1">
      <alignment vertical="top"/>
    </xf>
    <xf numFmtId="0" fontId="0" fillId="0" borderId="15" xfId="0" applyBorder="1" applyAlignment="1">
      <alignment horizontal="center" vertical="center"/>
    </xf>
    <xf numFmtId="49" fontId="0" fillId="0" borderId="16" xfId="0" applyNumberFormat="1" applyBorder="1" applyAlignment="1">
      <alignment wrapText="1"/>
    </xf>
    <xf numFmtId="0" fontId="0" fillId="0" borderId="0" xfId="0" applyAlignment="1">
      <alignment vertical="top" wrapText="1"/>
    </xf>
    <xf numFmtId="49" fontId="0" fillId="0" borderId="17" xfId="0" applyNumberFormat="1" applyBorder="1" applyAlignment="1">
      <alignment horizontal="left" vertical="top" wrapText="1"/>
    </xf>
    <xf numFmtId="43" fontId="0" fillId="0" borderId="14" xfId="44" applyFont="1" applyBorder="1" applyAlignment="1">
      <alignment horizontal="right"/>
    </xf>
    <xf numFmtId="43" fontId="0" fillId="0" borderId="14" xfId="44" applyFont="1" applyFill="1" applyBorder="1" applyAlignment="1">
      <alignment horizontal="right"/>
    </xf>
    <xf numFmtId="43" fontId="0" fillId="0" borderId="14" xfId="44" applyFont="1" applyFill="1" applyBorder="1" applyAlignment="1">
      <alignment horizontal="right" vertical="center"/>
    </xf>
    <xf numFmtId="0" fontId="0" fillId="0" borderId="14" xfId="0" applyBorder="1"/>
    <xf numFmtId="43" fontId="0" fillId="0" borderId="14" xfId="44" applyFont="1" applyBorder="1"/>
    <xf numFmtId="43" fontId="0" fillId="0" borderId="14" xfId="0" applyNumberFormat="1" applyBorder="1"/>
    <xf numFmtId="4" fontId="0" fillId="0" borderId="14" xfId="0" applyNumberFormat="1" applyBorder="1"/>
    <xf numFmtId="2" fontId="0" fillId="0" borderId="14" xfId="0" applyNumberFormat="1" applyBorder="1" applyAlignment="1">
      <alignment horizontal="left" vertical="center" indent="1"/>
    </xf>
    <xf numFmtId="0" fontId="0" fillId="0" borderId="14" xfId="0" applyBorder="1" applyAlignment="1">
      <alignment horizontal="left" vertical="center" indent="1"/>
    </xf>
    <xf numFmtId="0" fontId="0" fillId="0" borderId="0" xfId="0" pivotButton="1"/>
    <xf numFmtId="0" fontId="0" fillId="0" borderId="0" xfId="0" pivotButton="1" applyAlignment="1">
      <alignment wrapText="1"/>
    </xf>
    <xf numFmtId="0" fontId="0" fillId="0" borderId="0" xfId="0" applyAlignment="1">
      <alignment vertical="center" wrapText="1"/>
    </xf>
    <xf numFmtId="43" fontId="0" fillId="0" borderId="0" xfId="0" applyNumberFormat="1" applyAlignment="1">
      <alignment horizontal="center" wrapText="1"/>
    </xf>
    <xf numFmtId="43" fontId="0" fillId="0" borderId="0" xfId="0" applyNumberFormat="1" applyAlignment="1">
      <alignment horizontal="center"/>
    </xf>
    <xf numFmtId="49" fontId="0" fillId="0" borderId="17" xfId="0" applyNumberFormat="1" applyBorder="1" applyAlignment="1">
      <alignment horizontal="left" vertical="center" indent="1"/>
    </xf>
    <xf numFmtId="0" fontId="0" fillId="0" borderId="14" xfId="0" applyBorder="1" applyAlignment="1">
      <alignment horizontal="left" vertical="top" wrapText="1"/>
    </xf>
    <xf numFmtId="0" fontId="0" fillId="0" borderId="14" xfId="0" applyBorder="1" applyAlignment="1">
      <alignment horizontal="center" vertical="center" wrapText="1"/>
    </xf>
    <xf numFmtId="0" fontId="0" fillId="0" borderId="14" xfId="0" applyBorder="1" applyAlignment="1">
      <alignment wrapText="1"/>
    </xf>
    <xf numFmtId="4" fontId="0" fillId="0" borderId="14" xfId="0" applyNumberFormat="1" applyBorder="1" applyAlignment="1">
      <alignment wrapText="1"/>
    </xf>
    <xf numFmtId="0" fontId="0" fillId="0" borderId="14" xfId="0" applyBorder="1" applyAlignment="1">
      <alignment vertical="top" wrapText="1"/>
    </xf>
    <xf numFmtId="49" fontId="13" fillId="34" borderId="13" xfId="0" applyNumberFormat="1" applyFont="1" applyFill="1" applyBorder="1" applyAlignment="1">
      <alignment horizontal="center" vertical="center"/>
    </xf>
    <xf numFmtId="43" fontId="0" fillId="0" borderId="0" xfId="0" applyNumberFormat="1"/>
    <xf numFmtId="0" fontId="0" fillId="0" borderId="18" xfId="0" applyBorder="1" applyAlignment="1">
      <alignment horizontal="left" vertical="center" indent="1"/>
    </xf>
    <xf numFmtId="0" fontId="0" fillId="0" borderId="18" xfId="0" applyBorder="1"/>
    <xf numFmtId="0" fontId="0" fillId="0" borderId="18" xfId="0" applyBorder="1" applyAlignment="1">
      <alignment horizontal="center" vertical="center"/>
    </xf>
    <xf numFmtId="0" fontId="0" fillId="0" borderId="18" xfId="0" applyBorder="1" applyAlignment="1">
      <alignment horizontal="left" vertical="top" wrapText="1"/>
    </xf>
    <xf numFmtId="0" fontId="0" fillId="0" borderId="18" xfId="0" applyBorder="1" applyAlignment="1">
      <alignment horizontal="center" vertical="center" wrapText="1"/>
    </xf>
    <xf numFmtId="43" fontId="0" fillId="0" borderId="18" xfId="0" applyNumberFormat="1" applyBorder="1"/>
    <xf numFmtId="0" fontId="0" fillId="0" borderId="18" xfId="0" applyBorder="1" applyAlignment="1">
      <alignment vertical="top" wrapText="1"/>
    </xf>
    <xf numFmtId="0" fontId="0" fillId="0" borderId="19" xfId="0" applyBorder="1" applyAlignment="1">
      <alignment horizontal="center" vertical="center"/>
    </xf>
    <xf numFmtId="0" fontId="0" fillId="0" borderId="19" xfId="0" applyBorder="1" applyAlignment="1">
      <alignment horizontal="left" vertical="top" wrapText="1"/>
    </xf>
    <xf numFmtId="0" fontId="0" fillId="0" borderId="19" xfId="0" applyBorder="1" applyAlignment="1">
      <alignment horizontal="center" vertical="center" wrapText="1"/>
    </xf>
    <xf numFmtId="43" fontId="0" fillId="0" borderId="19" xfId="44" applyFont="1" applyBorder="1"/>
    <xf numFmtId="0" fontId="0" fillId="0" borderId="19" xfId="0" applyBorder="1"/>
    <xf numFmtId="0" fontId="0" fillId="0" borderId="19" xfId="0" applyBorder="1" applyAlignment="1">
      <alignment horizontal="left" vertical="center" indent="1"/>
    </xf>
    <xf numFmtId="0" fontId="0" fillId="0" borderId="19" xfId="0" applyBorder="1" applyAlignment="1">
      <alignment vertical="top" wrapText="1"/>
    </xf>
    <xf numFmtId="0" fontId="0" fillId="0" borderId="0" xfId="0" applyAlignment="1">
      <alignment horizontal="center" vertical="center" wrapText="1"/>
    </xf>
    <xf numFmtId="164" fontId="0" fillId="0" borderId="0" xfId="0" applyNumberFormat="1"/>
    <xf numFmtId="2" fontId="0" fillId="0" borderId="14" xfId="0" applyNumberFormat="1" applyBorder="1"/>
    <xf numFmtId="2" fontId="0" fillId="0" borderId="14" xfId="44" applyNumberFormat="1" applyFont="1" applyBorder="1"/>
    <xf numFmtId="2" fontId="0" fillId="0" borderId="14" xfId="0" applyNumberFormat="1" applyBorder="1" applyAlignment="1">
      <alignment horizontal="center" vertical="center"/>
    </xf>
  </cellXfs>
  <cellStyles count="45">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Hyperlink" xfId="42" xr:uid="{00000000-000B-0000-0000-000008000000}"/>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3" builtinId="8" hidde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Финансовый" xfId="44" builtinId="3"/>
    <cellStyle name="Хороший" xfId="6" builtinId="26" customBuiltin="1"/>
  </cellStyles>
  <dxfs count="180">
    <dxf>
      <fill>
        <patternFill>
          <bgColor rgb="FFFF0000"/>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numFmt numFmtId="30" formatCode="@"/>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alignment horizontal="center" vertical="bottom" textRotation="0" wrapText="0" indent="0" justifyLastLine="0" shrinkToFit="0" readingOrder="0"/>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alignment horizontal="center" vertical="center" textRotation="0" wrapText="0" indent="0" justifyLastLine="0" shrinkToFit="0" readingOrder="0"/>
    </dxf>
    <dxf>
      <alignment horizontal="center" vertical="top" textRotation="0" wrapText="0" indent="0" justifyLastLine="0" shrinkToFit="0" readingOrder="0"/>
    </dxf>
    <dxf>
      <numFmt numFmtId="35" formatCode="_-* #,##0.00_-;\-* #,##0.00_-;_-* &quot;-&quot;??_-;_-@_-"/>
    </dxf>
    <dxf>
      <alignment vertical="bottom"/>
    </dxf>
    <dxf>
      <alignment vertical="bottom"/>
    </dxf>
    <dxf>
      <alignment vertical="center"/>
    </dxf>
    <dxf>
      <alignment horizontal="general" indent="0"/>
    </dxf>
    <dxf>
      <alignment vertical="top"/>
    </dxf>
    <dxf>
      <alignment vertical="top"/>
    </dxf>
    <dxf>
      <alignment vertical="top"/>
    </dxf>
    <dxf>
      <alignment wrapText="1"/>
    </dxf>
    <dxf>
      <alignment wrapText="1"/>
    </dxf>
    <dxf>
      <alignment wrapText="1"/>
    </dxf>
    <dxf>
      <alignment wrapText="1"/>
    </dxf>
    <dxf>
      <alignment horizontal="general" indent="0"/>
    </dxf>
    <dxf>
      <alignment horizontal="general" indent="0"/>
    </dxf>
    <dxf>
      <alignment horizontal="general" indent="0"/>
    </dxf>
    <dxf>
      <alignment vertical="top"/>
    </dxf>
    <dxf>
      <alignment vertical="center"/>
    </dxf>
    <dxf>
      <numFmt numFmtId="35" formatCode="_-* #,##0.00_-;\-* #,##0.00_-;_-* &quot;-&quot;??_-;_-@_-"/>
    </dxf>
    <dxf>
      <alignment vertical="top"/>
    </dxf>
    <dxf>
      <alignment horizontal="center"/>
    </dxf>
    <dxf>
      <alignment horizontal="general"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wrapText="1"/>
    </dxf>
    <dxf>
      <alignment wrapText="1"/>
    </dxf>
    <dxf>
      <numFmt numFmtId="35" formatCode="_-* #,##0.00_-;\-* #,##0.00_-;_-* &quot;-&quot;??_-;_-@_-"/>
    </dxf>
    <dxf>
      <alignment vertical="top"/>
    </dxf>
    <dxf>
      <alignment wrapText="1"/>
    </dxf>
    <dxf>
      <alignment horizontal="general" vertical="top" textRotation="0" wrapText="1" indent="0" justifyLastLine="0" shrinkToFit="0" readingOrder="0"/>
      <border diagonalUp="0" diagonalDown="0" outline="0">
        <left style="dashed">
          <color auto="1"/>
        </left>
        <right style="dashed">
          <color auto="1"/>
        </right>
        <top/>
        <bottom/>
      </border>
    </dxf>
    <dxf>
      <alignment horizontal="general"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numFmt numFmtId="35" formatCode="_-* #,##0.00_-;\-* #,##0.00_-;_-* &quot;-&quot;??_-;_-@_-"/>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alignment horizontal="left" vertical="center" textRotation="0" wrapText="0" indent="1" justifyLastLine="0" shrinkToFit="0" readingOrder="0"/>
      <border diagonalUp="0" diagonalDown="0" outline="0">
        <left style="dashed">
          <color auto="1"/>
        </left>
        <right style="dashed">
          <color auto="1"/>
        </right>
        <top/>
        <bottom/>
      </border>
    </dxf>
    <dxf>
      <alignment horizontal="left" vertical="center" textRotation="0" wrapText="0" indent="1"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1" indent="0" justifyLastLine="0" shrinkToFit="0" readingOrder="0"/>
      <border diagonalUp="0" diagonalDown="0" outline="0">
        <left style="dashed">
          <color auto="1"/>
        </left>
        <right style="dashed">
          <color auto="1"/>
        </right>
        <top/>
        <bottom/>
      </border>
    </dxf>
    <dxf>
      <alignment horizontal="center" vertical="center"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top" textRotation="0" wrapText="1" indent="0" justifyLastLine="0" shrinkToFit="0" readingOrder="0"/>
    </dxf>
    <dxf>
      <border diagonalUp="0" diagonalDown="0" outline="0">
        <left style="dashed">
          <color auto="1"/>
        </left>
        <right style="dashed">
          <color auto="1"/>
        </right>
        <top/>
        <bottom/>
      </border>
    </dxf>
    <dxf>
      <fill>
        <patternFill patternType="none">
          <bgColor auto="1"/>
        </patternFill>
      </fill>
      <alignment horizontal="general" vertical="bottom" textRotation="0" wrapText="1" indent="0" justifyLastLine="0" shrinkToFit="0" readingOrder="0"/>
      <border diagonalUp="0" diagonalDown="0" outline="0">
        <left style="dashed">
          <color auto="1"/>
        </left>
        <right style="dashed">
          <color auto="1"/>
        </right>
        <top style="dashed">
          <color auto="1"/>
        </top>
        <bottom style="dashed">
          <color auto="1"/>
        </bottom>
      </border>
    </dxf>
    <dxf>
      <alignment horizontal="center" vertical="center"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center" vertical="center" textRotation="0" wrapText="0" indent="0" justifyLastLine="0" shrinkToFit="0" readingOrder="0"/>
      <border diagonalUp="0" diagonalDown="0" outline="0">
        <left style="dashed">
          <color auto="1"/>
        </left>
        <right style="dashed">
          <color auto="1"/>
        </right>
        <top style="dashed">
          <color auto="1"/>
        </top>
        <bottom style="dashed">
          <color auto="1"/>
        </bottom>
      </border>
    </dxf>
    <dxf>
      <alignment horizontal="center" vertical="center"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center" vertical="center" textRotation="0" wrapText="0" indent="0" justifyLastLine="0" shrinkToFit="0" readingOrder="0"/>
      <border diagonalUp="0" diagonalDown="0" outline="0">
        <left style="dashed">
          <color auto="1"/>
        </left>
        <right style="dashed">
          <color auto="1"/>
        </right>
        <top style="dashed">
          <color auto="1"/>
        </top>
        <bottom style="dashed">
          <color auto="1"/>
        </bottom>
      </border>
    </dxf>
    <dxf>
      <border diagonalUp="0" diagonalDown="0" outline="0">
        <left style="dashed">
          <color auto="1"/>
        </left>
        <right style="dashed">
          <color auto="1"/>
        </right>
        <top/>
        <bottom/>
      </border>
    </dxf>
    <dxf>
      <numFmt numFmtId="2" formatCode="0.00"/>
      <fill>
        <patternFill patternType="none">
          <bgColor auto="1"/>
        </patternFill>
      </fill>
      <border diagonalUp="0" diagonalDown="0" outline="0">
        <left style="dashed">
          <color auto="1"/>
        </left>
        <right style="dashed">
          <color auto="1"/>
        </right>
        <top style="dashed">
          <color auto="1"/>
        </top>
        <bottom style="dashed">
          <color auto="1"/>
        </bottom>
      </border>
    </dxf>
    <dxf>
      <numFmt numFmtId="35" formatCode="_-* #,##0.00_-;\-* #,##0.00_-;_-* &quot;-&quot;??_-;_-@_-"/>
    </dxf>
    <dxf>
      <numFmt numFmtId="2" formatCode="0.00"/>
      <border diagonalUp="0" diagonalDown="0" outline="0">
        <left style="dashed">
          <color auto="1"/>
        </left>
        <right style="dashed">
          <color auto="1"/>
        </right>
        <top style="dashed">
          <color auto="1"/>
        </top>
        <bottom style="dashed">
          <color auto="1"/>
        </bottom>
      </border>
    </dxf>
    <dxf>
      <numFmt numFmtId="35" formatCode="_-* #,##0.00_-;\-* #,##0.00_-;_-* &quot;-&quot;??_-;_-@_-"/>
    </dxf>
    <dxf>
      <numFmt numFmtId="2" formatCode="0.00"/>
      <border diagonalUp="0" diagonalDown="0" outline="0">
        <left style="dashed">
          <color auto="1"/>
        </left>
        <right style="dashed">
          <color auto="1"/>
        </right>
        <top style="dashed">
          <color auto="1"/>
        </top>
        <bottom style="dashed">
          <color auto="1"/>
        </bottom>
      </border>
    </dxf>
    <dxf>
      <numFmt numFmtId="35" formatCode="_-* #,##0.00_-;\-* #,##0.00_-;_-* &quot;-&quot;??_-;_-@_-"/>
    </dxf>
    <dxf>
      <numFmt numFmtId="35" formatCode="_-* #,##0.00_-;\-* #,##0.00_-;_-* &quot;-&quot;??_-;_-@_-"/>
      <fill>
        <patternFill patternType="none">
          <bgColor auto="1"/>
        </patternFill>
      </fill>
      <border diagonalUp="0" diagonalDown="0" outline="0">
        <left style="dashed">
          <color auto="1"/>
        </left>
        <right style="dashed">
          <color auto="1"/>
        </right>
        <top style="dashed">
          <color auto="1"/>
        </top>
        <bottom style="dashed">
          <color auto="1"/>
        </bottom>
      </border>
    </dxf>
    <dxf>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border diagonalUp="0" diagonalDown="0" outline="0">
        <left style="dashed">
          <color auto="1"/>
        </left>
        <right style="dashed">
          <color auto="1"/>
        </right>
        <top style="dashed">
          <color auto="1"/>
        </top>
        <bottom style="dashed">
          <color auto="1"/>
        </bottom>
      </border>
    </dxf>
    <dxf>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border diagonalUp="0" diagonalDown="0" outline="0">
        <left style="dashed">
          <color auto="1"/>
        </left>
        <right style="dashed">
          <color auto="1"/>
        </right>
        <top style="dashed">
          <color auto="1"/>
        </top>
        <bottom style="dashed">
          <color auto="1"/>
        </bottom>
      </border>
    </dxf>
    <dxf>
      <border diagonalUp="0" diagonalDown="0" outline="0">
        <left style="dashed">
          <color auto="1"/>
        </left>
        <right style="dashed">
          <color auto="1"/>
        </right>
        <top/>
        <bottom/>
      </border>
    </dxf>
    <dxf>
      <fill>
        <patternFill patternType="none">
          <bgColor auto="1"/>
        </patternFill>
      </fill>
      <border diagonalUp="0" diagonalDown="0" outline="0">
        <left style="dashed">
          <color auto="1"/>
        </left>
        <right style="dashed">
          <color auto="1"/>
        </right>
        <top style="dashed">
          <color auto="1"/>
        </top>
        <bottom style="dashed">
          <color auto="1"/>
        </bottom>
      </border>
    </dxf>
    <dxf>
      <border diagonalUp="0" diagonalDown="0" outline="0">
        <left style="dashed">
          <color auto="1"/>
        </left>
        <right style="dashed">
          <color auto="1"/>
        </right>
        <top/>
        <bottom/>
      </border>
    </dxf>
    <dxf>
      <numFmt numFmtId="2" formatCode="0.00"/>
    </dxf>
    <dxf>
      <border diagonalUp="0" diagonalDown="0" outline="0">
        <left style="dashed">
          <color auto="1"/>
        </left>
        <right style="dashed">
          <color auto="1"/>
        </right>
        <top/>
        <bottom/>
      </border>
    </dxf>
    <dxf>
      <fill>
        <patternFill patternType="none">
          <bgColor auto="1"/>
        </patternFill>
      </fill>
      <border diagonalUp="0" diagonalDown="0" outline="0">
        <left style="dashed">
          <color auto="1"/>
        </left>
        <right style="dashed">
          <color auto="1"/>
        </right>
        <top style="dashed">
          <color auto="1"/>
        </top>
        <bottom style="dashed">
          <color auto="1"/>
        </bottom>
      </border>
    </dxf>
    <dxf>
      <border diagonalUp="0" diagonalDown="0" outline="0">
        <left style="dashed">
          <color auto="1"/>
        </left>
        <right style="dashed">
          <color auto="1"/>
        </right>
        <top/>
        <bottom/>
      </border>
    </dxf>
    <dxf>
      <numFmt numFmtId="35" formatCode="_-* #,##0.00_-;\-* #,##0.00_-;_-* &quot;-&quot;??_-;_-@_-"/>
      <fill>
        <patternFill patternType="none">
          <bgColor auto="1"/>
        </patternFill>
      </fill>
      <border diagonalUp="0" diagonalDown="0">
        <left style="dashed">
          <color auto="1"/>
        </left>
        <right style="dashed">
          <color auto="1"/>
        </right>
        <top style="dashed">
          <color auto="1"/>
        </top>
        <bottom style="dashed">
          <color auto="1"/>
        </bottom>
        <vertical style="dashed">
          <color auto="1"/>
        </vertical>
        <horizontal style="dashed">
          <color auto="1"/>
        </horizontal>
      </border>
    </dxf>
    <dxf>
      <border diagonalUp="0" diagonalDown="0" outline="0">
        <left style="dashed">
          <color auto="1"/>
        </left>
        <right style="dashed">
          <color auto="1"/>
        </right>
        <top/>
        <bottom/>
      </border>
    </dxf>
    <dxf>
      <fill>
        <patternFill patternType="none">
          <bgColor auto="1"/>
        </patternFill>
      </fill>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right" vertical="bottom"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right" vertical="bottom"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right" vertical="bottom" textRotation="0" wrapText="0" indent="0" justifyLastLine="0" shrinkToFit="0" readingOrder="0"/>
      <border diagonalUp="0" diagonalDown="0" outline="0">
        <left/>
        <right style="dashed">
          <color auto="1"/>
        </right>
        <top/>
        <bottom/>
      </border>
    </dxf>
    <dxf>
      <fill>
        <patternFill patternType="none">
          <bgColor auto="1"/>
        </patternFill>
      </fill>
      <alignment horizontal="right" vertical="bottom" textRotation="0" wrapText="0" indent="0" justifyLastLine="0" shrinkToFit="0" readingOrder="0"/>
      <border diagonalUp="0" diagonalDown="0" outline="0">
        <left/>
        <right style="dashed">
          <color auto="1"/>
        </right>
        <top style="dashed">
          <color auto="1"/>
        </top>
        <bottom style="dashed">
          <color auto="1"/>
        </bottom>
      </border>
    </dxf>
    <dxf>
      <alignment horizontal="left" vertical="center" textRotation="0" wrapText="0" indent="1" justifyLastLine="0" shrinkToFit="0" readingOrder="0"/>
      <border diagonalUp="0" diagonalDown="0" outline="0">
        <left style="dashed">
          <color auto="1"/>
        </left>
        <right style="dashed">
          <color auto="1"/>
        </right>
        <top/>
        <bottom/>
      </border>
    </dxf>
    <dxf>
      <fill>
        <patternFill patternType="none">
          <bgColor auto="1"/>
        </patternFill>
      </fill>
      <alignment horizontal="left" vertical="center" textRotation="0" wrapText="0" relativeIndent="1" justifyLastLine="0" shrinkToFit="0" readingOrder="0"/>
      <border diagonalUp="0" diagonalDown="0" outline="0">
        <left style="dashed">
          <color auto="1"/>
        </left>
        <right style="dashed">
          <color auto="1"/>
        </right>
        <top style="dashed">
          <color auto="1"/>
        </top>
        <bottom style="dashed">
          <color auto="1"/>
        </bottom>
      </border>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border diagonalUp="0" diagonalDown="0" outline="0">
        <left style="dashed">
          <color auto="1"/>
        </left>
        <right/>
        <top style="dashed">
          <color auto="1"/>
        </top>
        <bottom style="dashed">
          <color auto="1"/>
        </bottom>
      </border>
    </dxf>
    <dxf>
      <fill>
        <patternFill patternType="none">
          <bgColor auto="1"/>
        </patternFill>
      </fill>
    </dxf>
    <dxf>
      <font>
        <b/>
        <i val="0"/>
        <strike val="0"/>
        <condense val="0"/>
        <extend val="0"/>
        <outline val="0"/>
        <shadow val="0"/>
        <u val="none"/>
        <vertAlign val="baseline"/>
        <sz val="11"/>
        <color theme="0"/>
        <name val="Calibri"/>
        <family val="2"/>
        <charset val="204"/>
        <scheme val="minor"/>
      </font>
      <fill>
        <patternFill patternType="solid">
          <fgColor theme="8"/>
          <bgColor theme="8"/>
        </patternFill>
      </fill>
      <alignment horizontal="center" vertical="top" textRotation="0" wrapText="1" indent="0" justifyLastLine="0" shrinkToFit="0" readingOrder="0"/>
    </dxf>
    <dxf>
      <numFmt numFmtId="0" formatCode="General"/>
      <alignment horizontal="left" vertical="bottom" textRotation="0" wrapText="0" indent="1" justifyLastLine="0" shrinkToFit="0" readingOrder="0"/>
    </dxf>
    <dxf>
      <numFmt numFmtId="0" formatCode="General"/>
    </dxf>
    <dxf>
      <alignment horizontal="center" vertical="top" textRotation="0" wrapText="0" indent="0" justifyLastLine="0" shrinkToFit="0" readingOrder="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0" defaultPivotStyle="PivotStyleLight16">
    <tableStyle name="Плоский стиль сводного представления" table="0" count="3" xr9:uid="{7E7469EB-6512-448A-9E72-F2B72DA20E69}">
      <tableStyleElement type="headerRow" dxfId="179"/>
      <tableStyleElement type="totalRow" dxfId="178"/>
      <tableStyleElement type="secondRowStripe" dxfId="177"/>
    </tableStyle>
  </tableStyles>
  <colors>
    <mruColors>
      <color rgb="FFF5B487"/>
      <color rgb="FFF47B5E"/>
      <color rgb="FFF25F3C"/>
      <color rgb="FFC9A6E4"/>
      <color rgb="FFF1E8F8"/>
      <color rgb="FFE4D2F2"/>
      <color rgb="FFF8D8E5"/>
      <color rgb="FF84A2D8"/>
      <color rgb="FFFFFF99"/>
      <color rgb="FFEF8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theme" Target="theme/theme1.xml"/><Relationship Id="rId17" Type="http://schemas.microsoft.com/office/2017/10/relationships/person" Target="persons/person.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persons/person.xml><?xml version="1.0" encoding="utf-8"?>
<personList xmlns="http://schemas.microsoft.com/office/spreadsheetml/2018/threadedcomments" xmlns:x="http://schemas.openxmlformats.org/spreadsheetml/2006/main">
  <person displayName="Иван Кукушкин" id="{546BDB3A-668A-4D8C-87A8-0DE14755FBE5}" userId="3a809852355ebf2e" providerId="Windows Liv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ndrey.malyavin" refreshedDate="45971.602244791669" backgroundQuery="1" createdVersion="8" refreshedVersion="8" minRefreshableVersion="3" recordCount="0" supportSubquery="1" supportAdvancedDrill="1" xr:uid="{B4C9610A-0905-469A-A180-90E1F6157402}">
  <cacheSource type="external" connectionId="1"/>
  <cacheFields count="8">
    <cacheField name="[TabSpecificationWork_1].[DESCRIPTION SET].[DESCRIPTION SET]" caption="DESCRIPTION SET" numFmtId="0" hierarchy="5" level="1">
      <sharedItems count="5">
        <s v="Комплект активного сетевого оборудования"/>
        <s v="Комплект модулей для активного сетевого оборудования"/>
        <s v="Комплект активного сетевого оборудования с монтажным комплектом" u="1"/>
        <s v="Комплект пассивного сетевого оборудования" u="1"/>
        <s v="Комплект серверного оборудования для формирования ПТК" u="1"/>
      </sharedItems>
    </cacheField>
    <cacheField name="[TabSpecificationWork_1].[NUM PROJECT].[NUM PROJECT]" caption="NUM PROJECT" numFmtId="0" hierarchy="2" level="1">
      <sharedItems containsSemiMixedTypes="0" containsNonDate="0" containsString="0"/>
    </cacheField>
    <cacheField name="[Measures].[Сумма по столбцу COST PRICE $PURCHASE]" caption="Сумма по столбцу COST PRICE $PURCHASE" numFmtId="0" hierarchy="53" level="32767"/>
    <cacheField name="[TabSpecificationWork_1].[NAME PRODUCT].[NAME PRODUCT]" caption="NAME PRODUCT" numFmtId="0" hierarchy="11" level="1">
      <sharedItems count="12">
        <s v="Коммутатор Huawei S6730-H48X6C"/>
        <s v="Коммутатор L3, OS3228"/>
        <s v="Сетевая карта LR-Link OCP 3.0 2 порта 100G QSFP28 LRES3026PF-OCP"/>
        <s v="Модуль 100G QSFP28 AOC, дальность до 3м"/>
        <s v="Модуль SFP LX 20км (14dB)"/>
        <s v="Модуль SFP с интерфейсом RJ45, до 100м"/>
        <s v="Модуль SFP+ оптический, дальность до 2км (9dB), 1310нм"/>
        <s v="Оптический кросс 19&quot; 1U 16 портов" u="1"/>
        <s v="Патч-корд оптический FC-LC-SM duplex" u="1"/>
        <s v="Сервер Gigabyte двухсокетный Application, 2U" u="1"/>
        <s v="Сервер Gigabyte двухсокетный DBMS, 2U" u="1"/>
        <s v="DEM-432XT" u="1"/>
      </sharedItems>
    </cacheField>
    <cacheField name="[Measures].[Сумма по столбцу COST $TOTAL]" caption="Сумма по столбцу COST $TOTAL" numFmtId="0" hierarchy="55" level="32767"/>
    <cacheField name="[TabSpecificationWork_1].[isSHIPPED].[isSHIPPED]" caption="isSHIPPED" numFmtId="0" hierarchy="9" level="1">
      <sharedItems containsSemiMixedTypes="0" containsNonDate="0" containsString="0"/>
    </cacheField>
    <cacheField name="[Measures].[Сумма по столбцу QUANTITY TOTAL]" caption="Сумма по столбцу QUANTITY TOTAL" numFmtId="0" hierarchy="51" level="32767"/>
    <cacheField name="[TabSpecificationWork_1].[NUM FULL SET].[NUM FULL SET]" caption="NUM FULL SET" numFmtId="0" hierarchy="8" level="1">
      <sharedItems containsSemiMixedTypes="0" containsNonDate="0" containsString="0"/>
    </cacheField>
  </cacheFields>
  <cacheHierarchies count="61">
    <cacheHierarchy uniqueName="[TabSpecificationWork_1].[IDnum]" caption="IDnum" attribute="1" defaultMemberUniqueName="[TabSpecificationWork_1].[IDnum].[All]" allUniqueName="[TabSpecificationWork_1].[IDnum].[All]" dimensionUniqueName="[TabSpecificationWork_1]" displayFolder="" count="0" memberValueDatatype="20" unbalanced="0"/>
    <cacheHierarchy uniqueName="[TabSpecificationWork_1].[IDsource]" caption="IDsource" attribute="1" defaultMemberUniqueName="[TabSpecificationWork_1].[IDsource].[All]" allUniqueName="[TabSpecificationWork_1].[IDsource].[All]" dimensionUniqueName="[TabSpecificationWork_1]" displayFolder="" count="0" memberValueDatatype="20" unbalanced="0"/>
    <cacheHierarchy uniqueName="[TabSpecificationWork_1].[NUM PROJECT]" caption="NUM PROJECT" attribute="1" defaultMemberUniqueName="[TabSpecificationWork_1].[NUM PROJECT].[All]" allUniqueName="[TabSpecificationWork_1].[NUM PROJECT].[All]" dimensionUniqueName="[TabSpecificationWork_1]" displayFolder="" count="2" memberValueDatatype="130" unbalanced="0">
      <fieldsUsage count="2">
        <fieldUsage x="-1"/>
        <fieldUsage x="1"/>
      </fieldsUsage>
    </cacheHierarchy>
    <cacheHierarchy uniqueName="[TabSpecificationWork_1].[NUM ORDER]" caption="NUM ORDER" attribute="1" defaultMemberUniqueName="[TabSpecificationWork_1].[NUM ORDER].[All]" allUniqueName="[TabSpecificationWork_1].[NUM ORDER].[All]" dimensionUniqueName="[TabSpecificationWork_1]" displayFolder="" count="0" memberValueDatatype="130" unbalanced="0"/>
    <cacheHierarchy uniqueName="[TabSpecificationWork_1].[VER COLLECTION]" caption="VER COLLECTION" attribute="1" defaultMemberUniqueName="[TabSpecificationWork_1].[VER COLLECTION].[All]" allUniqueName="[TabSpecificationWork_1].[VER COLLECTION].[All]" dimensionUniqueName="[TabSpecificationWork_1]" displayFolder="" count="0" memberValueDatatype="20" unbalanced="0"/>
    <cacheHierarchy uniqueName="[TabSpecificationWork_1].[DESCRIPTION SET]" caption="DESCRIPTION SET" attribute="1" defaultMemberUniqueName="[TabSpecificationWork_1].[DESCRIPTION SET].[All]" allUniqueName="[TabSpecificationWork_1].[DESCRIPTION SET].[All]" dimensionUniqueName="[TabSpecificationWork_1]" displayFolder="" count="2" memberValueDatatype="130" unbalanced="0">
      <fieldsUsage count="2">
        <fieldUsage x="-1"/>
        <fieldUsage x="0"/>
      </fieldsUsage>
    </cacheHierarchy>
    <cacheHierarchy uniqueName="[TabSpecificationWork_1].[IDset]" caption="IDset" attribute="1" defaultMemberUniqueName="[TabSpecificationWork_1].[IDset].[All]" allUniqueName="[TabSpecificationWork_1].[IDset].[All]" dimensionUniqueName="[TabSpecificationWork_1]" displayFolder="" count="0" memberValueDatatype="20" unbalanced="0"/>
    <cacheHierarchy uniqueName="[TabSpecificationWork_1].[NUM SEQUENCE SET]" caption="NUM SEQUENCE SET" attribute="1" defaultMemberUniqueName="[TabSpecificationWork_1].[NUM SEQUENCE SET].[All]" allUniqueName="[TabSpecificationWork_1].[NUM SEQUENCE SET].[All]" dimensionUniqueName="[TabSpecificationWork_1]" displayFolder="" count="0" memberValueDatatype="20" unbalanced="0"/>
    <cacheHierarchy uniqueName="[TabSpecificationWork_1].[NUM FULL SET]" caption="NUM FULL SET" attribute="1" defaultMemberUniqueName="[TabSpecificationWork_1].[NUM FULL SET].[All]" allUniqueName="[TabSpecificationWork_1].[NUM FULL SET].[All]" dimensionUniqueName="[TabSpecificationWork_1]" displayFolder="" count="2" memberValueDatatype="130" unbalanced="0">
      <fieldsUsage count="2">
        <fieldUsage x="-1"/>
        <fieldUsage x="7"/>
      </fieldsUsage>
    </cacheHierarchy>
    <cacheHierarchy uniqueName="[TabSpecificationWork_1].[isSHIPPED]" caption="isSHIPPED" attribute="1" defaultMemberUniqueName="[TabSpecificationWork_1].[isSHIPPED].[All]" allUniqueName="[TabSpecificationWork_1].[isSHIPPED].[All]" dimensionUniqueName="[TabSpecificationWork_1]" displayFolder="" count="2" memberValueDatatype="130" unbalanced="0">
      <fieldsUsage count="2">
        <fieldUsage x="-1"/>
        <fieldUsage x="5"/>
      </fieldsUsage>
    </cacheHierarchy>
    <cacheHierarchy uniqueName="[TabSpecificationWork_1].[HASH COLLECTION]" caption="HASH COLLECTION" attribute="1" defaultMemberUniqueName="[TabSpecificationWork_1].[HASH COLLECTION].[All]" allUniqueName="[TabSpecificationWork_1].[HASH COLLECTION].[All]" dimensionUniqueName="[TabSpecificationWork_1]" displayFolder="" count="0" memberValueDatatype="130" unbalanced="0"/>
    <cacheHierarchy uniqueName="[TabSpecificationWork_1].[NAME PRODUCT]" caption="NAME PRODUCT" attribute="1" defaultMemberUniqueName="[TabSpecificationWork_1].[NAME PRODUCT].[All]" allUniqueName="[TabSpecificationWork_1].[NAME PRODUCT].[All]" dimensionUniqueName="[TabSpecificationWork_1]" displayFolder="" count="2" memberValueDatatype="130" unbalanced="0">
      <fieldsUsage count="2">
        <fieldUsage x="-1"/>
        <fieldUsage x="3"/>
      </fieldsUsage>
    </cacheHierarchy>
    <cacheHierarchy uniqueName="[TabSpecificationWork_1].[DESCRIPTION PRODUCT]" caption="DESCRIPTION PRODUCT" attribute="1" defaultMemberUniqueName="[TabSpecificationWork_1].[DESCRIPTION PRODUCT].[All]" allUniqueName="[TabSpecificationWork_1].[DESCRIPTION PRODUCT].[All]" dimensionUniqueName="[TabSpecificationWork_1]" displayFolder="" count="0" memberValueDatatype="130" unbalanced="0"/>
    <cacheHierarchy uniqueName="[TabSpecificationWork_1].[BRAND]" caption="BRAND" attribute="1" defaultMemberUniqueName="[TabSpecificationWork_1].[BRAND].[All]" allUniqueName="[TabSpecificationWork_1].[BRAND].[All]" dimensionUniqueName="[TabSpecificationWork_1]" displayFolder="" count="0" memberValueDatatype="130" unbalanced="0"/>
    <cacheHierarchy uniqueName="[TabSpecificationWork_1].[SUPPLIER]" caption="SUPPLIER" attribute="1" defaultMemberUniqueName="[TabSpecificationWork_1].[SUPPLIER].[All]" allUniqueName="[TabSpecificationWork_1].[SUPPLIER].[All]" dimensionUniqueName="[TabSpecificationWork_1]" displayFolder="" count="0" memberValueDatatype="130" unbalanced="0"/>
    <cacheHierarchy uniqueName="[TabSpecificationWork_1].[ARTICLE SUPPLIER]" caption="ARTICLE SUPPLIER" attribute="1" defaultMemberUniqueName="[TabSpecificationWork_1].[ARTICLE SUPPLIER].[All]" allUniqueName="[TabSpecificationWork_1].[ARTICLE SUPPLIER].[All]" dimensionUniqueName="[TabSpecificationWork_1]" displayFolder="" count="0" memberValueDatatype="130" unbalanced="0"/>
    <cacheHierarchy uniqueName="[TabSpecificationWork_1].[ARTICLE INTERNAL]" caption="ARTICLE INTERNAL" attribute="1" defaultMemberUniqueName="[TabSpecificationWork_1].[ARTICLE INTERNAL].[All]" allUniqueName="[TabSpecificationWork_1].[ARTICLE INTERNAL].[All]" dimensionUniqueName="[TabSpecificationWork_1]" displayFolder="" count="0" memberValueDatatype="130" unbalanced="0"/>
    <cacheHierarchy uniqueName="[TabSpecificationWork_1].[UNITS]" caption="UNITS" attribute="1" defaultMemberUniqueName="[TabSpecificationWork_1].[UNITS].[All]" allUniqueName="[TabSpecificationWork_1].[UNITS].[All]" dimensionUniqueName="[TabSpecificationWork_1]" displayFolder="" count="0" memberValueDatatype="130" unbalanced="0"/>
    <cacheHierarchy uniqueName="[TabSpecificationWork_1].[QUANTITY SET]" caption="QUANTITY SET" attribute="1" defaultMemberUniqueName="[TabSpecificationWork_1].[QUANTITY SET].[All]" allUniqueName="[TabSpecificationWork_1].[QUANTITY SET].[All]" dimensionUniqueName="[TabSpecificationWork_1]" displayFolder="" count="0" memberValueDatatype="20" unbalanced="0"/>
    <cacheHierarchy uniqueName="[TabSpecificationWork_1].[QUANTITY SHIPPED SET]" caption="QUANTITY SHIPPED SET" attribute="1" defaultMemberUniqueName="[TabSpecificationWork_1].[QUANTITY SHIPPED SET].[All]" allUniqueName="[TabSpecificationWork_1].[QUANTITY SHIPPED SET].[All]" dimensionUniqueName="[TabSpecificationWork_1]" displayFolder="" count="0" memberValueDatatype="20" unbalanced="0"/>
    <cacheHierarchy uniqueName="[TabSpecificationWork_1].[QUANTITY TOTAL]" caption="QUANTITY TOTAL" attribute="1" defaultMemberUniqueName="[TabSpecificationWork_1].[QUANTITY TOTAL].[All]" allUniqueName="[TabSpecificationWork_1].[QUANTITY TOTAL].[All]" dimensionUniqueName="[TabSpecificationWork_1]" displayFolder="" count="0" memberValueDatatype="20" unbalanced="0"/>
    <cacheHierarchy uniqueName="[TabSpecificationWork_1].[QUANTITY SUPPLIER]" caption="QUANTITY SUPPLIER" attribute="1" defaultMemberUniqueName="[TabSpecificationWork_1].[QUANTITY SUPPLIER].[All]" allUniqueName="[TabSpecificationWork_1].[QUANTITY SUPPLIER].[All]" dimensionUniqueName="[TabSpecificationWork_1]" displayFolder="" count="0" memberValueDatatype="20" unbalanced="0"/>
    <cacheHierarchy uniqueName="[TabSpecificationWork_1].[PRICE UNIT $PURCHASE]" caption="PRICE UNIT $PURCHASE" attribute="1" defaultMemberUniqueName="[TabSpecificationWork_1].[PRICE UNIT $PURCHASE].[All]" allUniqueName="[TabSpecificationWork_1].[PRICE UNIT $PURCHASE].[All]" dimensionUniqueName="[TabSpecificationWork_1]" displayFolder="" count="0" memberValueDatatype="5" unbalanced="0"/>
    <cacheHierarchy uniqueName="[TabSpecificationWork_1].[COST PRICE $PURCHASE]" caption="COST PRICE $PURCHASE" attribute="1" defaultMemberUniqueName="[TabSpecificationWork_1].[COST PRICE $PURCHASE].[All]" allUniqueName="[TabSpecificationWork_1].[COST PRICE $PURCHASE].[All]" dimensionUniqueName="[TabSpecificationWork_1]" displayFolder="" count="0" memberValueDatatype="5" unbalanced="0"/>
    <cacheHierarchy uniqueName="[TabSpecificationWork_1].[TCP SOURCE]" caption="TCP SOURCE" attribute="1" defaultMemberUniqueName="[TabSpecificationWork_1].[TCP SOURCE].[All]" allUniqueName="[TabSpecificationWork_1].[TCP SOURCE].[All]" dimensionUniqueName="[TabSpecificationWork_1]" displayFolder="" count="0" memberValueDatatype="130" unbalanced="0"/>
    <cacheHierarchy uniqueName="[TabSpecificationWork_1].[COMMENT WORK]" caption="COMMENT WORK" attribute="1" defaultMemberUniqueName="[TabSpecificationWork_1].[COMMENT WORK].[All]" allUniqueName="[TabSpecificationWork_1].[COMMENT WORK].[All]" dimensionUniqueName="[TabSpecificationWork_1]" displayFolder="" count="0" memberValueDatatype="130" unbalanced="0"/>
    <cacheHierarchy uniqueName="[TabSpecificationWork_1].[URL PRODUCT]" caption="URL PRODUCT" attribute="1" defaultMemberUniqueName="[TabSpecificationWork_1].[URL PRODUCT].[All]" allUniqueName="[TabSpecificationWork_1].[URL PRODUCT].[All]" dimensionUniqueName="[TabSpecificationWork_1]" displayFolder="" count="0" memberValueDatatype="130" unbalanced="0"/>
    <cacheHierarchy uniqueName="[TabSpecificationWork_1].[IMAGE PRODUCT]" caption="IMAGE PRODUCT" attribute="1" defaultMemberUniqueName="[TabSpecificationWork_1].[IMAGE PRODUCT].[All]" allUniqueName="[TabSpecificationWork_1].[IMAGE PRODUCT].[All]" dimensionUniqueName="[TabSpecificationWork_1]" displayFolder="" count="0" memberValueDatatype="130" unbalanced="0"/>
    <cacheHierarchy uniqueName="[TabSpecificationWork_2].[HASH COLLECTION]" caption="HASH COLLECTION" attribute="1" defaultMemberUniqueName="[TabSpecificationWork_2].[HASH COLLECTION].[All]" allUniqueName="[TabSpecificationWork_2].[HASH COLLECTION].[All]" dimensionUniqueName="[TabSpecificationWork_2]" displayFolder="" count="0" memberValueDatatype="130" unbalanced="0"/>
    <cacheHierarchy uniqueName="[TabSpecificationWork_2].[COEFFICIENT MARKUP]" caption="COEFFICIENT MARKUP" attribute="1" defaultMemberUniqueName="[TabSpecificationWork_2].[COEFFICIENT MARKUP].[All]" allUniqueName="[TabSpecificationWork_2].[COEFFICIENT MARKUP].[All]" dimensionUniqueName="[TabSpecificationWork_2]" displayFolder="" count="0" memberValueDatatype="5" unbalanced="0"/>
    <cacheHierarchy uniqueName="[TabSpecificationWork_2].[PRICE UNIT $SALE]" caption="PRICE UNIT $SALE" attribute="1" defaultMemberUniqueName="[TabSpecificationWork_2].[PRICE UNIT $SALE].[All]" allUniqueName="[TabSpecificationWork_2].[PRICE UNIT $SALE].[All]" dimensionUniqueName="[TabSpecificationWork_2]" displayFolder="" count="0" memberValueDatatype="5" unbalanced="0"/>
    <cacheHierarchy uniqueName="[TabSpecificationWork_2].[COST DEAL $SALE]" caption="COST DEAL $SALE" attribute="1" defaultMemberUniqueName="[TabSpecificationWork_2].[COST DEAL $SALE].[All]" allUniqueName="[TabSpecificationWork_2].[COST DEAL $SALE].[All]" dimensionUniqueName="[TabSpecificationWork_2]" displayFolder="" count="0" memberValueDatatype="5" unbalanced="0"/>
    <cacheHierarchy uniqueName="[TabSpecificationWork_2].[DISCOUNT PERCENT]" caption="DISCOUNT PERCENT" attribute="1" defaultMemberUniqueName="[TabSpecificationWork_2].[DISCOUNT PERCENT].[All]" allUniqueName="[TabSpecificationWork_2].[DISCOUNT PERCENT].[All]" dimensionUniqueName="[TabSpecificationWork_2]" displayFolder="" count="0" memberValueDatatype="20" unbalanced="0"/>
    <cacheHierarchy uniqueName="[TabSpecificationWork_2].[DISCOUNT MONEY]" caption="DISCOUNT MONEY" attribute="1" defaultMemberUniqueName="[TabSpecificationWork_2].[DISCOUNT MONEY].[All]" allUniqueName="[TabSpecificationWork_2].[DISCOUNT MONEY].[All]" dimensionUniqueName="[TabSpecificationWork_2]" displayFolder="" count="0" memberValueDatatype="20" unbalanced="0"/>
    <cacheHierarchy uniqueName="[TabSpecificationWork_2].[FORMULA SPECIFIC COST]" caption="FORMULA SPECIFIC COST" attribute="1" defaultMemberUniqueName="[TabSpecificationWork_2].[FORMULA SPECIFIC COST].[All]" allUniqueName="[TabSpecificationWork_2].[FORMULA SPECIFIC COST].[All]" dimensionUniqueName="[TabSpecificationWork_2]" displayFolder="" count="0" memberValueDatatype="130" unbalanced="0"/>
    <cacheHierarchy uniqueName="[TabSpecificationWork_2].[PRICE UNIT $TOTAL]" caption="PRICE UNIT $TOTAL" attribute="1" defaultMemberUniqueName="[TabSpecificationWork_2].[PRICE UNIT $TOTAL].[All]" allUniqueName="[TabSpecificationWork_2].[PRICE UNIT $TOTAL].[All]" dimensionUniqueName="[TabSpecificationWork_2]" displayFolder="" count="0" memberValueDatatype="5" unbalanced="0"/>
    <cacheHierarchy uniqueName="[TabSpecificationWork_2].[COST $TOTAL]" caption="COST $TOTAL" attribute="1" defaultMemberUniqueName="[TabSpecificationWork_2].[COST $TOTAL].[All]" allUniqueName="[TabSpecificationWork_2].[COST $TOTAL].[All]" dimensionUniqueName="[TabSpecificationWork_2]" displayFolder="" count="0" memberValueDatatype="5" unbalanced="0"/>
    <cacheHierarchy uniqueName="[TabSpecificationWork_2].[DURATION SALE $TOTAL]" caption="DURATION SALE $TOTAL" attribute="1" defaultMemberUniqueName="[TabSpecificationWork_2].[DURATION SALE $TOTAL].[All]" allUniqueName="[TabSpecificationWork_2].[DURATION SALE $TOTAL].[All]" dimensionUniqueName="[TabSpecificationWork_2]" displayFolder="" count="0" memberValueDatatype="130" unbalanced="0"/>
    <cacheHierarchy uniqueName="[TabSpecificationWork_2].[isSUPPLIED]" caption="isSUPPLIED" attribute="1" defaultMemberUniqueName="[TabSpecificationWork_2].[isSUPPLIED].[All]" allUniqueName="[TabSpecificationWork_2].[isSUPPLIED].[All]" dimensionUniqueName="[TabSpecificationWork_2]" displayFolder="" count="0" memberValueDatatype="130" unbalanced="0"/>
    <cacheHierarchy uniqueName="[TabSpecificationWork_2].[isPROCESSING]" caption="isPROCESSING" attribute="1" defaultMemberUniqueName="[TabSpecificationWork_2].[isPROCESSING].[All]" allUniqueName="[TabSpecificationWork_2].[isPROCESSING].[All]" dimensionUniqueName="[TabSpecificationWork_2]" displayFolder="" count="0" memberValueDatatype="130" unbalanced="0"/>
    <cacheHierarchy uniqueName="[TabSpecificationWork_2].[COMMENT CUSTOMER]" caption="COMMENT CUSTOMER" attribute="1" defaultMemberUniqueName="[TabSpecificationWork_2].[COMMENT CUSTOMER].[All]" allUniqueName="[TabSpecificationWork_2].[COMMENT CUSTOMER].[All]" dimensionUniqueName="[TabSpecificationWork_2]" displayFolder="" count="0" memberValueDatatype="130" unbalanced="0"/>
    <cacheHierarchy uniqueName="[Measures].[__XL_Count TabSpecificationWork_1]" caption="__XL_Count TabSpecificationWork_1" measure="1" displayFolder="" measureGroup="TabSpecificationWork_1" count="0" hidden="1"/>
    <cacheHierarchy uniqueName="[Measures].[__XL_Count TabSpecificationWork_2]" caption="__XL_Count TabSpecificationWork_2" measure="1" displayFolder="" measureGroup="TabSpecificationWork_2" count="0" hidden="1"/>
    <cacheHierarchy uniqueName="[Measures].[__Не определено ни одной меры]" caption="__Не определено ни одной меры" measure="1" displayFolder="" count="0" hidden="1"/>
    <cacheHierarchy uniqueName="[Measures].[Сумма по столбцу COEFFICIENT MARKUP]" caption="Сумма по столбцу COEFFICIENT MARKUP" measure="1" displayFolder="" measureGroup="TabSpecificationWork_2" count="0" hidden="1">
      <extLst>
        <ext xmlns:x15="http://schemas.microsoft.com/office/spreadsheetml/2010/11/main" uri="{B97F6D7D-B522-45F9-BDA1-12C45D357490}">
          <x15:cacheHierarchy aggregatedColumn="29"/>
        </ext>
      </extLst>
    </cacheHierarchy>
    <cacheHierarchy uniqueName="[Measures].[Сумма по столбцу PRICE UNIT $SALE]" caption="Сумма по столбцу PRICE UNIT $SALE" measure="1" displayFolder="" measureGroup="TabSpecificationWork_2" count="0" hidden="1">
      <extLst>
        <ext xmlns:x15="http://schemas.microsoft.com/office/spreadsheetml/2010/11/main" uri="{B97F6D7D-B522-45F9-BDA1-12C45D357490}">
          <x15:cacheHierarchy aggregatedColumn="30"/>
        </ext>
      </extLst>
    </cacheHierarchy>
    <cacheHierarchy uniqueName="[Measures].[Сумма по столбцу COST DEAL $SALE]" caption="Сумма по столбцу COST DEAL $SALE" measure="1" displayFolder="" measureGroup="TabSpecificationWork_2" count="0" hidden="1">
      <extLst>
        <ext xmlns:x15="http://schemas.microsoft.com/office/spreadsheetml/2010/11/main" uri="{B97F6D7D-B522-45F9-BDA1-12C45D357490}">
          <x15:cacheHierarchy aggregatedColumn="31"/>
        </ext>
      </extLst>
    </cacheHierarchy>
    <cacheHierarchy uniqueName="[Measures].[Сумма по столбцу DISCOUNT PERCENT]" caption="Сумма по столбцу DISCOUNT PERCENT" measure="1" displayFolder="" measureGroup="TabSpecificationWork_2" count="0" hidden="1">
      <extLst>
        <ext xmlns:x15="http://schemas.microsoft.com/office/spreadsheetml/2010/11/main" uri="{B97F6D7D-B522-45F9-BDA1-12C45D357490}">
          <x15:cacheHierarchy aggregatedColumn="32"/>
        </ext>
      </extLst>
    </cacheHierarchy>
    <cacheHierarchy uniqueName="[Measures].[Сумма по столбцу DISCOUNT MONEY]" caption="Сумма по столбцу DISCOUNT MONEY" measure="1" displayFolder="" measureGroup="TabSpecificationWork_2" count="0" hidden="1">
      <extLst>
        <ext xmlns:x15="http://schemas.microsoft.com/office/spreadsheetml/2010/11/main" uri="{B97F6D7D-B522-45F9-BDA1-12C45D357490}">
          <x15:cacheHierarchy aggregatedColumn="33"/>
        </ext>
      </extLst>
    </cacheHierarchy>
    <cacheHierarchy uniqueName="[Measures].[Сумма по столбцу QUANTITY SET]" caption="Сумма по столбцу QUANTITY SET" measure="1" displayFolder="" measureGroup="TabSpecificationWork_1" count="0" hidden="1">
      <extLst>
        <ext xmlns:x15="http://schemas.microsoft.com/office/spreadsheetml/2010/11/main" uri="{B97F6D7D-B522-45F9-BDA1-12C45D357490}">
          <x15:cacheHierarchy aggregatedColumn="18"/>
        </ext>
      </extLst>
    </cacheHierarchy>
    <cacheHierarchy uniqueName="[Measures].[Сумма по столбцу QUANTITY SHIPPED SET]" caption="Сумма по столбцу QUANTITY SHIPPED SET" measure="1" displayFolder="" measureGroup="TabSpecificationWork_1" count="0" hidden="1">
      <extLst>
        <ext xmlns:x15="http://schemas.microsoft.com/office/spreadsheetml/2010/11/main" uri="{B97F6D7D-B522-45F9-BDA1-12C45D357490}">
          <x15:cacheHierarchy aggregatedColumn="19"/>
        </ext>
      </extLst>
    </cacheHierarchy>
    <cacheHierarchy uniqueName="[Measures].[Сумма по столбцу QUANTITY TOTAL]" caption="Сумма по столбцу QUANTITY TOTAL" measure="1" displayFolder="" measureGroup="TabSpecificationWork_1" count="0" oneField="1" hidden="1">
      <fieldsUsage count="1">
        <fieldUsage x="6"/>
      </fieldsUsage>
      <extLst>
        <ext xmlns:x15="http://schemas.microsoft.com/office/spreadsheetml/2010/11/main" uri="{B97F6D7D-B522-45F9-BDA1-12C45D357490}">
          <x15:cacheHierarchy aggregatedColumn="20"/>
        </ext>
      </extLst>
    </cacheHierarchy>
    <cacheHierarchy uniqueName="[Measures].[Число элементов в столбце IDset]" caption="Число элементов в столбце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Сумма по столбцу COST PRICE $PURCHASE]" caption="Сумма по столбцу COST PRICE $PURCHASE" measure="1" displayFolder="" measureGroup="TabSpecificationWork_1" count="0" oneField="1" hidden="1">
      <fieldsUsage count="1">
        <fieldUsage x="2"/>
      </fieldsUsage>
      <extLst>
        <ext xmlns:x15="http://schemas.microsoft.com/office/spreadsheetml/2010/11/main" uri="{B97F6D7D-B522-45F9-BDA1-12C45D357490}">
          <x15:cacheHierarchy aggregatedColumn="23"/>
        </ext>
      </extLst>
    </cacheHierarchy>
    <cacheHierarchy uniqueName="[Measures].[Максимум в столбце COST PRICE $PURCHASE]" caption="Максимум в столбце COST PRICE $PURCHASE" measure="1" displayFolder="" measureGroup="TabSpecificationWork_1" count="0" hidden="1">
      <extLst>
        <ext xmlns:x15="http://schemas.microsoft.com/office/spreadsheetml/2010/11/main" uri="{B97F6D7D-B522-45F9-BDA1-12C45D357490}">
          <x15:cacheHierarchy aggregatedColumn="23"/>
        </ext>
      </extLst>
    </cacheHierarchy>
    <cacheHierarchy uniqueName="[Measures].[Сумма по столбцу COST $TOTAL]" caption="Сумма по столбцу COST $TOTAL" measure="1" displayFolder="" measureGroup="TabSpecificationWork_2" count="0" oneField="1" hidden="1">
      <fieldsUsage count="1">
        <fieldUsage x="4"/>
      </fieldsUsage>
      <extLst>
        <ext xmlns:x15="http://schemas.microsoft.com/office/spreadsheetml/2010/11/main" uri="{B97F6D7D-B522-45F9-BDA1-12C45D357490}">
          <x15:cacheHierarchy aggregatedColumn="36"/>
        </ext>
      </extLst>
    </cacheHierarchy>
    <cacheHierarchy uniqueName="[Measures].[Максимум в столбце COST $TOTAL]" caption="Максимум в столбце COST $TOTAL" measure="1" displayFolder="" measureGroup="TabSpecificationWork_2" count="0" hidden="1">
      <extLst>
        <ext xmlns:x15="http://schemas.microsoft.com/office/spreadsheetml/2010/11/main" uri="{B97F6D7D-B522-45F9-BDA1-12C45D357490}">
          <x15:cacheHierarchy aggregatedColumn="36"/>
        </ext>
      </extLst>
    </cacheHierarchy>
    <cacheHierarchy uniqueName="[Measures].[Сумма по столбцу IDset]" caption="Сумма по столбцу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Максимум в столбце IDset]" caption="Максимум в столбце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Максимум в столбце QUANTITY TOTAL]" caption="Максимум в столбце QUANTITY TOTAL" measure="1" displayFolder="" measureGroup="TabSpecificationWork_1" count="0" hidden="1">
      <extLst>
        <ext xmlns:x15="http://schemas.microsoft.com/office/spreadsheetml/2010/11/main" uri="{B97F6D7D-B522-45F9-BDA1-12C45D357490}">
          <x15:cacheHierarchy aggregatedColumn="20"/>
        </ext>
      </extLst>
    </cacheHierarchy>
    <cacheHierarchy uniqueName="[Measures].[Число элементов в столбце NUM FULL SET]" caption="Число элементов в столбце NUM FULL SET" measure="1" displayFolder="" measureGroup="TabSpecificationWork_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SpecificationWork_1" uniqueName="[TabSpecificationWork_1]" caption="TabSpecificationWork_1"/>
    <dimension name="TabSpecificationWork_2" uniqueName="[TabSpecificationWork_2]" caption="TabSpecificationWork_2"/>
  </dimensions>
  <measureGroups count="2">
    <measureGroup name="TabSpecificationWork_1" caption="TabSpecificationWork_1"/>
    <measureGroup name="TabSpecificationWork_2" caption="TabSpecificationWork_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30F92-2C79-4E2B-A25C-57BFA29CC982}" name="Сводная таблица7" cacheId="10" applyNumberFormats="0" applyBorderFormats="0" applyFontFormats="0" applyPatternFormats="0" applyAlignmentFormats="0" applyWidthHeightFormats="1" dataCaption="Значения" tag="50e29880-fb16-401c-a6e9-1e6c127231d5" updatedVersion="8" minRefreshableVersion="3" subtotalHiddenItems="1" itemPrintTitles="1" createdVersion="8" indent="0" showEmptyRow="1" outline="1" outlineData="1" multipleFieldFilters="0" rowHeaderCaption="НАИМЕНОВАНИЕ ПОЗИЦИИ">
  <location ref="A6:D16" firstHeaderRow="0" firstDataRow="1" firstDataCol="1" rowPageCount="3" colPageCount="1"/>
  <pivotFields count="8">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s>
  <rowFields count="2">
    <field x="0"/>
    <field x="3"/>
  </rowFields>
  <rowItems count="10">
    <i>
      <x/>
    </i>
    <i r="1">
      <x/>
    </i>
    <i r="1">
      <x v="1"/>
    </i>
    <i r="1">
      <x v="2"/>
    </i>
    <i>
      <x v="1"/>
    </i>
    <i r="1">
      <x v="3"/>
    </i>
    <i r="1">
      <x v="4"/>
    </i>
    <i r="1">
      <x v="5"/>
    </i>
    <i r="1">
      <x v="6"/>
    </i>
    <i t="grand">
      <x/>
    </i>
  </rowItems>
  <colFields count="1">
    <field x="-2"/>
  </colFields>
  <colItems count="3">
    <i>
      <x/>
    </i>
    <i i="1">
      <x v="1"/>
    </i>
    <i i="2">
      <x v="2"/>
    </i>
  </colItems>
  <pageFields count="3">
    <pageField fld="1" hier="2" name="[TabSpecificationWork_1].[NUM PROJECT].&amp;[1/2024-N3-ГОРИЗОНТ]" cap="1/2024-N3-ГОРИЗОНТ"/>
    <pageField fld="5" hier="9" name="[TabSpecificationWork_1].[isSHIPPED].[All]" cap="All"/>
    <pageField fld="7" hier="8" name="[TabSpecificationWork_1].[NUM FULL SET].&amp;[1.1]" cap="1.1"/>
  </pageFields>
  <dataFields count="3">
    <dataField name="Сумма по столбцу QUANTITY TOTAL" fld="6" baseField="3" baseItem="1"/>
    <dataField name="Сумма по столбцу COST PRICE $PURCHASE" fld="2" baseField="3" baseItem="1"/>
    <dataField name="COST $TOTAL" fld="4" baseField="3" baseItem="1"/>
  </dataFields>
  <formats count="34">
    <format dxfId="56">
      <pivotArea dataOnly="0" labelOnly="1" outline="0" axis="axisValues" fieldPosition="0"/>
    </format>
    <format dxfId="55">
      <pivotArea dataOnly="0" labelOnly="1" outline="0" axis="axisValues" fieldPosition="0"/>
    </format>
    <format dxfId="54">
      <pivotArea dataOnly="0" outline="0" fieldPosition="0">
        <references count="1">
          <reference field="4294967294" count="1">
            <x v="1"/>
          </reference>
        </references>
      </pivotArea>
    </format>
    <format dxfId="53">
      <pivotArea dataOnly="0" outline="0" fieldPosition="0">
        <references count="1">
          <reference field="4294967294" count="1">
            <x v="1"/>
          </reference>
        </references>
      </pivotArea>
    </format>
    <format dxfId="52">
      <pivotArea dataOnly="0" outline="0" fieldPosition="0">
        <references count="1">
          <reference field="4294967294" count="1">
            <x v="0"/>
          </reference>
        </references>
      </pivotArea>
    </format>
    <format dxfId="51">
      <pivotArea dataOnly="0" outline="0" fieldPosition="0">
        <references count="1">
          <reference field="4294967294" count="1">
            <x v="0"/>
          </reference>
        </references>
      </pivotArea>
    </format>
    <format dxfId="50">
      <pivotArea dataOnly="0" outline="0" fieldPosition="0">
        <references count="1">
          <reference field="4294967294" count="1">
            <x v="1"/>
          </reference>
        </references>
      </pivotArea>
    </format>
    <format dxfId="49">
      <pivotArea field="1" type="button" dataOnly="0" labelOnly="1" outline="0" axis="axisPage"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grandRow="1" outline="0" fieldPosition="0"/>
    </format>
    <format dxfId="45">
      <pivotArea dataOnly="0" labelOnly="1" fieldPosition="0">
        <references count="2">
          <reference field="0" count="1" selected="0">
            <x v="1"/>
          </reference>
          <reference field="3" count="2">
            <x v="5"/>
            <x v="11"/>
          </reference>
        </references>
      </pivotArea>
    </format>
    <format dxfId="44">
      <pivotArea dataOnly="0" labelOnly="1" fieldPosition="0">
        <references count="2">
          <reference field="0" count="1" selected="0">
            <x v="3"/>
          </reference>
          <reference field="3" count="2">
            <x v="7"/>
            <x v="8"/>
          </reference>
        </references>
      </pivotArea>
    </format>
    <format dxfId="43">
      <pivotArea field="1" type="button" dataOnly="0" labelOnly="1" outline="0" axis="axisPage" fieldPosition="0"/>
    </format>
    <format dxfId="42">
      <pivotArea dataOnly="0" labelOnly="1" outline="0" fieldPosition="0">
        <references count="1">
          <reference field="4294967294" count="1">
            <x v="2"/>
          </reference>
        </references>
      </pivotArea>
    </format>
    <format dxfId="41">
      <pivotArea outline="0" collapsedLevelsAreSubtotals="1" fieldPosition="0">
        <references count="1">
          <reference field="4294967294" count="1" selected="0">
            <x v="2"/>
          </reference>
        </references>
      </pivotArea>
    </format>
    <format dxfId="40">
      <pivotArea field="0" grandRow="1" outline="0" collapsedLevelsAreSubtotals="1" axis="axisRow" fieldPosition="0">
        <references count="1">
          <reference field="4294967294" count="1" selected="0">
            <x v="2"/>
          </reference>
        </references>
      </pivotArea>
    </format>
    <format dxfId="39">
      <pivotArea dataOnly="0" outline="0" fieldPosition="0">
        <references count="1">
          <reference field="4294967294" count="1">
            <x v="0"/>
          </reference>
        </references>
      </pivotArea>
    </format>
    <format dxfId="38">
      <pivotArea dataOnly="0" labelOnly="1" outline="0" fieldPosition="0">
        <references count="1">
          <reference field="4294967294" count="1">
            <x v="0"/>
          </reference>
        </references>
      </pivotArea>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field="0" type="button" dataOnly="0" labelOnly="1" outline="0" axis="axisRow" fieldPosition="0"/>
    </format>
    <format dxfId="33">
      <pivotArea dataOnly="0" labelOnly="1" fieldPosition="0">
        <references count="1">
          <reference field="0" count="1">
            <x v="4"/>
          </reference>
        </references>
      </pivotArea>
    </format>
    <format dxfId="32">
      <pivotArea dataOnly="0" labelOnly="1" grandRow="1" outline="0" fieldPosition="0"/>
    </format>
    <format dxfId="31">
      <pivotArea dataOnly="0" labelOnly="1" fieldPosition="0">
        <references count="2">
          <reference field="0" count="1" selected="0">
            <x v="4"/>
          </reference>
          <reference field="3" count="2">
            <x v="9"/>
            <x v="10"/>
          </reference>
        </references>
      </pivotArea>
    </format>
    <format dxfId="30">
      <pivotArea field="0" type="button" dataOnly="0" labelOnly="1" outline="0" axis="axisRow" fieldPosition="0"/>
    </format>
    <format dxfId="29">
      <pivotArea dataOnly="0" labelOnly="1" fieldPosition="0">
        <references count="1">
          <reference field="0" count="4">
            <x v="0"/>
            <x v="1"/>
            <x v="2"/>
            <x v="3"/>
          </reference>
        </references>
      </pivotArea>
    </format>
    <format dxfId="28">
      <pivotArea dataOnly="0" labelOnly="1" grandRow="1" outline="0" fieldPosition="0"/>
    </format>
    <format dxfId="27">
      <pivotArea dataOnly="0" labelOnly="1" fieldPosition="0">
        <references count="1">
          <reference field="3" count="0"/>
        </references>
      </pivotArea>
    </format>
    <format dxfId="26">
      <pivotArea dataOnly="0" labelOnly="1" fieldPosition="0">
        <references count="1">
          <reference field="3" count="0"/>
        </references>
      </pivotArea>
    </format>
    <format dxfId="25">
      <pivotArea dataOnly="0" outline="0" fieldPosition="0">
        <references count="1">
          <reference field="4294967294" count="1">
            <x v="1"/>
          </reference>
        </references>
      </pivotArea>
    </format>
    <format dxfId="24">
      <pivotArea dataOnly="0" outline="0" fieldPosition="0">
        <references count="1">
          <reference field="4294967294" count="1">
            <x v="2"/>
          </reference>
        </references>
      </pivotArea>
    </format>
    <format dxfId="23">
      <pivotArea dataOnly="0" outline="0" fieldPosition="0">
        <references count="1">
          <reference field="4294967294" count="1">
            <x v="2"/>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9" level="1">
        <member name="[TabSpecificationWork_1].[NUM FULL SET].&amp;[1.1]"/>
        <member name="[TabSpecificationWork_1].[NUM FULL SET].&amp;[1.2]"/>
        <member name="[TabSpecificationWork_1].[NUM FULL SET].&amp;[2.1]"/>
        <member name="[TabSpecificationWork_1].[NUM FULL SET].&amp;[2.2]"/>
        <member name="[TabSpecificationWork_1].[NUM FULL SET].&amp;[2.3]"/>
        <member name="[TabSpecificationWork_1].[NUM FULL SET].&amp;[2.4]"/>
        <member name="[TabSpecificationWork_1].[NUM FULL SET].&amp;[2.5]"/>
        <member name="[TabSpecificationWork_1].[NUM FULL SET].&amp;[3.1]"/>
        <member name="[TabSpecificationWork_1].[NUM FULL SET].&amp;[3.2]"/>
        <member name="[TabSpecificationWork_1].[NUM FULL SET].&amp;[3.3]"/>
        <member name="[TabSpecificationWork_1].[NUM FULL SET].&amp;[3.4]"/>
        <member name="[TabSpecificationWork_1].[NUM FULL SET].&amp;[3.5]"/>
        <member name="[TabSpecificationWork_1].[NUM FULL SET].&amp;[3.6]"/>
        <member name="[TabSpecificationWork_1].[NUM FULL SET].&amp;[4.1]"/>
        <member name="[TabSpecificationWork_1].[NUM FULL SET].&amp;[4.2]"/>
        <member name="[TabSpecificationWork_1].[NUM FULL SET].&amp;[4.3]"/>
        <member name="[TabSpecificationWork_1].[NUM FULL SET].&amp;[4.4]"/>
        <member name="[TabSpecificationWork_1].[NUM FULL SET].&amp;[4.6]"/>
        <member name="[TabSpecificationWork_1].[NUM FULL SET].&amp;[5.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Сумма по столбцу QUANTITY TOTAL"/>
    <pivotHierarchy dragToData="1"/>
    <pivotHierarchy dragToData="1" caption="Сумма по столбцу COST PRICE $PURCHASE"/>
    <pivotHierarchy dragToData="1" caption="Максимум в столбце COST PRICE $PURCHASE"/>
    <pivotHierarchy dragToData="1" caption="COST $TOTAL"/>
    <pivotHierarchy dragToData="1" caption="Максимум в столбце COST $TOTAL"/>
    <pivotHierarchy dragToData="1"/>
    <pivotHierarchy dragToData="1" caption="IDset"/>
    <pivotHierarchy dragToData="1" caption="QUANTITY TOTAL"/>
    <pivotHierarchy dragToData="1"/>
  </pivotHierarchies>
  <pivotTableStyleInfo name="PivotStyleMedium6" showRowHeaders="1" showColHeaders="1" showRowStripes="0" showColStripes="0" showLastColumn="1"/>
  <rowHierarchiesUsage count="2">
    <rowHierarchyUsage hierarchyUsage="5"/>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SpecificationWork_1]"/>
        <x15:activeTabTopLevelEntity name="[TabSpecificationWork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4" xr16:uid="{F1CCDB27-A76E-4759-AF84-FB1A0BBBBA95}" autoFormatId="16" applyNumberFormats="0" applyBorderFormats="0" applyFontFormats="0" applyPatternFormats="0" applyAlignmentFormats="0" applyWidthHeightFormats="0">
  <queryTableRefresh nextId="41">
    <queryTableFields count="39">
      <queryTableField id="1" name="IDnum" tableColumnId="1"/>
      <queryTableField id="2" name="IDsource" tableColumnId="2"/>
      <queryTableField id="3" name="NUM PROJECT" tableColumnId="3"/>
      <queryTableField id="4" name="NUM ORDER" tableColumnId="4"/>
      <queryTableField id="5" name="VER COLLECTION" tableColumnId="5"/>
      <queryTableField id="6" name="DESCRIPTION SET" tableColumnId="6"/>
      <queryTableField id="7" name="IDset" tableColumnId="7"/>
      <queryTableField id="8" name="NUM SEQUENCE SET" tableColumnId="8"/>
      <queryTableField id="9" name="NUM FULL SET" tableColumnId="9"/>
      <queryTableField id="10" name="isSHIPPED" tableColumnId="10"/>
      <queryTableField id="11" name="HASH COLLECTION" tableColumnId="11"/>
      <queryTableField id="12" name="NAME PRODUCT" tableColumnId="12"/>
      <queryTableField id="13" name="DESCRIPTION PRODUCT" tableColumnId="13"/>
      <queryTableField id="14" name="BRAND" tableColumnId="14"/>
      <queryTableField id="15" name="SUPPLIER" tableColumnId="15"/>
      <queryTableField id="16" name="ARTICLE SUPPLIER" tableColumnId="16"/>
      <queryTableField id="17" name="ARTICLE INTERNAL" tableColumnId="17"/>
      <queryTableField id="18" name="UNITS" tableColumnId="18"/>
      <queryTableField id="19" name="QUANTITY SET" tableColumnId="19"/>
      <queryTableField id="20" name="QUANTITY SHIPPED SET" tableColumnId="20"/>
      <queryTableField id="21" name="QUANTITY TOTAL" tableColumnId="21"/>
      <queryTableField id="22" name="QUANTITY SUPPLIER" tableColumnId="22"/>
      <queryTableField id="23" name="PRICE UNIT $PURCHASE" tableColumnId="23"/>
      <queryTableField id="24" name="COST PRICE $PURCHASE" tableColumnId="24"/>
      <queryTableField id="25" name="TCP SOURCE" tableColumnId="25"/>
      <queryTableField id="26" name="COMMENT WORK" tableColumnId="26"/>
      <queryTableField id="28" name="IMAGE PRODUCT" tableColumnId="28"/>
      <queryTableField id="29" name="COEFFICIENT MARKUP" tableColumnId="29"/>
      <queryTableField id="30" name="PRICE UNIT $SALE" tableColumnId="30"/>
      <queryTableField id="31" name="COST DEAL $SALE" tableColumnId="31"/>
      <queryTableField id="32" name="DISCOUNT PERCENT" tableColumnId="32"/>
      <queryTableField id="33" name="DISCOUNT MONEY" tableColumnId="33"/>
      <queryTableField id="34" name="FORMULA SPECIFIC COST" tableColumnId="34"/>
      <queryTableField id="35" name="PRICE UNIT $TOTAL" tableColumnId="35"/>
      <queryTableField id="36" name="COST $TOTAL" tableColumnId="36"/>
      <queryTableField id="37" name="DURATION SALE $TOTAL" tableColumnId="37"/>
      <queryTableField id="38" name="isSUPPLIED" tableColumnId="38"/>
      <queryTableField id="39" name="isPROCESSING" tableColumnId="39"/>
      <queryTableField id="40" name="COMMENT CUSTOMER" tableColumnId="4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6" xr16:uid="{AF17E717-7B70-4CA4-86E7-63CFF8DFFC6E}" autoFormatId="16" applyNumberFormats="0" applyBorderFormats="0" applyFontFormats="0" applyPatternFormats="0" applyAlignmentFormats="0" applyWidthHeightFormats="0">
  <queryTableRefresh nextId="7">
    <queryTableFields count="5">
      <queryTableField id="1" name="IDnum" tableColumnId="1"/>
      <queryTableField id="3" name="HASH COLLECTION" tableColumnId="3"/>
      <queryTableField id="2" name="IDprojectfull" tableColumnId="2"/>
      <queryTableField id="4" name="GENERAL CONTRACTOR" tableColumnId="4"/>
      <queryTableField id="5" name="PROJECT CHIEF ENGINEER"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3" xr16:uid="{DB1788FE-EABE-4806-8AE4-8B463E76D40B}" autoFormatId="16" applyNumberFormats="0" applyBorderFormats="0" applyFontFormats="0" applyPatternFormats="0" applyAlignmentFormats="0" applyWidthHeightFormats="0">
  <queryTableRefresh nextId="3">
    <queryTableFields count="2">
      <queryTableField id="1" name="IDvendor" tableColumnId="1"/>
      <queryTableField id="2" name="BRAN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9" xr16:uid="{5FF5EC87-6B47-4F56-B531-6311735B8657}" autoFormatId="16" applyNumberFormats="0" applyBorderFormats="0" applyFontFormats="0" applyPatternFormats="0" applyAlignmentFormats="0" applyWidthHeightFormats="0">
  <queryTableRefresh nextId="6">
    <queryTableFields count="2">
      <queryTableField id="3" name="IDsupplier" tableColumnId="1"/>
      <queryTableField id="2" name="COMPANY_LABEL"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0" xr16:uid="{FAC7B856-09A1-469F-B852-89448551726D}" autoFormatId="16" applyNumberFormats="0" applyBorderFormats="0" applyFontFormats="0" applyPatternFormats="0" applyAlignmentFormats="0" applyWidthHeightFormats="0">
  <queryTableRefresh nextId="3">
    <queryTableFields count="2">
      <queryTableField id="1" name="IDnum" tableColumnId="1"/>
      <queryTableField id="2" name="UNITS" tableColumnId="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2FA2E-0933-4796-BA9B-C86666372FE4}" name="TabSpecificationWork_2" displayName="TabSpecificationWork_2" ref="F1:W4" headerRowDxfId="173" dataDxfId="172">
  <autoFilter ref="F1:W4" xr:uid="{39D2FA2E-0933-4796-BA9B-C86666372FE4}"/>
  <tableColumns count="18">
    <tableColumn id="1" xr3:uid="{2D35AB6D-689E-4581-BFB5-254603E305B8}" name="HASH COLLECTION" totalsRowLabel="Итог" dataDxfId="171" totalsRowDxfId="170">
      <calculatedColumnFormula>E2</calculatedColumnFormula>
    </tableColumn>
    <tableColumn id="2" xr3:uid="{1FF74755-B711-4353-9FE3-236304C8C10A}" name="COEFFICIENT MARKUP" dataDxfId="169" totalsRowDxfId="168"/>
    <tableColumn id="3" xr3:uid="{C9DF27EE-C3F5-48EA-8A9F-08703557C240}" name="PRICE UNIT $SALE" dataDxfId="167" totalsRowDxfId="166" dataCellStyle="Финансовый"/>
    <tableColumn id="4" xr3:uid="{13E50560-E3A1-4918-9A72-E170AD0ED179}" name="COST DEAL $SALE" dataDxfId="165" totalsRowDxfId="164"/>
    <tableColumn id="5" xr3:uid="{2ADC428A-1173-4D5A-9D2F-6AB8F3260492}" name="DISCOUNT PERCENT" dataDxfId="163" totalsRowDxfId="162"/>
    <tableColumn id="6" xr3:uid="{55B81372-0275-4435-8DD1-08DE134AE7CF}" name="DISCOUNT MONEY" dataDxfId="161" totalsRowDxfId="160" dataCellStyle="Финансовый">
      <calculatedColumnFormula>(TabSpecificationWork_2[[#This Row],[COST DEAL $SALE]]/100)*TabSpecificationWork_2[[#This Row],[DISCOUNT PERCENT]]</calculatedColumnFormula>
    </tableColumn>
    <tableColumn id="7" xr3:uid="{97734D3E-F1D4-4553-83AC-2FD721115591}" name="FORMULA SPECIFIC COST" dataDxfId="159" totalsRowDxfId="158"/>
    <tableColumn id="14" xr3:uid="{D7B68A30-8E83-45DF-8CC1-74E8F848D678}" name="VAT RATE CONTRACTOR $TOTAL" dataDxfId="157" totalsRowDxfId="156"/>
    <tableColumn id="8" xr3:uid="{7F91BE1C-6777-472B-9705-6FEAA341F9E4}" name="PRICE UNIT $TOTAL" dataDxfId="155" totalsRowDxfId="154" dataCellStyle="Финансовый">
      <calculatedColumnFormula>TabSpecificationWork_2[[#This Row],[PRICE UNIT $SALE]]</calculatedColumnFormula>
    </tableColumn>
    <tableColumn id="15" xr3:uid="{02D7F0B7-1820-4501-A308-119A82255F82}" name="VAT ADD PRICE UNIT $TOTAL" dataDxfId="153" totalsRowDxfId="152" dataCellStyle="Финансовый"/>
    <tableColumn id="16" xr3:uid="{A366C5F5-93AB-4564-A73C-1BE62A7FB420}" name="PRICE VAT UNIT $TOTAL" dataDxfId="151" totalsRowDxfId="150" dataCellStyle="Финансовый"/>
    <tableColumn id="9" xr3:uid="{F2DD7380-C2AA-4B5D-9F95-BF99066D156C}" name="COST $TOTAL" totalsRowFunction="sum" dataDxfId="149" totalsRowDxfId="148">
      <calculatedColumnFormula>TabSpecificationWork_2[[#This Row],[COST DEAL $SALE]]-TabSpecificationWork_2[[#This Row],[DISCOUNT MONEY]]</calculatedColumnFormula>
    </tableColumn>
    <tableColumn id="17" xr3:uid="{DA0391AF-C0CB-4566-9660-F446B432E374}" name="COST ADD VAT $TOTAL" dataDxfId="147" totalsRowDxfId="146"/>
    <tableColumn id="18" xr3:uid="{E88F4D99-BABC-4145-AF83-6C46AEA0AEF1}" name="COST VAT $TOTAL" dataDxfId="145" totalsRowDxfId="144"/>
    <tableColumn id="10" xr3:uid="{6B388F0D-214D-47C1-9BDE-C5B75AE170F9}" name="DURATION SALE $TOTAL" dataDxfId="143" totalsRowDxfId="142"/>
    <tableColumn id="11" xr3:uid="{F0C19BA4-14CD-46D7-9589-E18338973F4F}" name="isSUPPLIED" dataDxfId="141" totalsRowDxfId="140"/>
    <tableColumn id="12" xr3:uid="{0A11BEAE-757A-4C41-869F-EC42034A4E09}" name="isPROCESSING" dataDxfId="139" totalsRowDxfId="138"/>
    <tableColumn id="13" xr3:uid="{BB13BB81-0814-4356-8E31-92626816A46D}" name="COMMENT CUSTOMER" totalsRowFunction="count" dataDxfId="137" totalsRowDxfId="136"/>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871F67-2D12-4975-AE30-A22C979C2BA1}" name="TabSpecificationWork" displayName="TabSpecificationWork" ref="A1:AM24" tableType="queryTable" totalsRowCount="1" headerRowDxfId="135">
  <autoFilter ref="A1:AM23" xr:uid="{54871F67-2D12-4975-AE30-A22C979C2BA1}"/>
  <tableColumns count="39">
    <tableColumn id="1" xr3:uid="{DF5F1AE5-7188-4873-9B43-AA856EED46B2}" uniqueName="1" name="IDnum" queryTableFieldId="1" dataDxfId="134" totalsRowDxfId="133"/>
    <tableColumn id="2" xr3:uid="{CE1B78A7-F713-475B-A081-267866FA36FF}" uniqueName="2" name="IDsource" queryTableFieldId="2" dataDxfId="132" totalsRowDxfId="131"/>
    <tableColumn id="3" xr3:uid="{99C3FFBE-B09A-4E17-8764-3208510986F2}" uniqueName="3" name="NUM PROJECT" queryTableFieldId="3" dataDxfId="130" totalsRowDxfId="129"/>
    <tableColumn id="4" xr3:uid="{764AE984-47C0-42D7-B7A4-DAF96FA77B7D}" uniqueName="4" name="NUM ORDER" queryTableFieldId="4" dataDxfId="128" totalsRowDxfId="127"/>
    <tableColumn id="5" xr3:uid="{0F394EC3-840C-4AD4-BD3C-F9A1F0F08C22}" uniqueName="5" name="VER COLLECTION" queryTableFieldId="5" dataDxfId="126" totalsRowDxfId="125"/>
    <tableColumn id="6" xr3:uid="{0260A494-B10A-418B-918B-98FE265FA8EC}" uniqueName="6" name="DESCRIPTION SET" queryTableFieldId="6" dataDxfId="124" totalsRowDxfId="123"/>
    <tableColumn id="7" xr3:uid="{8F6F80F9-7D76-4812-A190-E220BE291249}" uniqueName="7" name="IDset" queryTableFieldId="7" dataDxfId="122" totalsRowDxfId="121"/>
    <tableColumn id="8" xr3:uid="{3AF82789-BEAC-4A80-AD19-A668F8674054}" uniqueName="8" name="NUM SEQUENCE SET" queryTableFieldId="8" dataDxfId="120" totalsRowDxfId="119"/>
    <tableColumn id="9" xr3:uid="{75941281-287C-4E6B-9F5E-801BE4E0BBFD}" uniqueName="9" name="NUM FULL SET" queryTableFieldId="9" dataDxfId="118" totalsRowDxfId="117"/>
    <tableColumn id="10" xr3:uid="{CBDC51D1-5CF1-4AF7-A2AD-5C7136B968ED}" uniqueName="10" name="isSHIPPED" queryTableFieldId="10" dataDxfId="116" totalsRowDxfId="115"/>
    <tableColumn id="11" xr3:uid="{3C27B005-CE14-420D-BC97-288ADB6D0368}" uniqueName="11" name="HASH COLLECTION" queryTableFieldId="11" dataDxfId="114" totalsRowDxfId="113"/>
    <tableColumn id="12" xr3:uid="{9110CB2C-91C3-4154-8CA5-2DADA4B7D411}" uniqueName="12" name="NAME PRODUCT" queryTableFieldId="12" dataDxfId="112" totalsRowDxfId="111"/>
    <tableColumn id="13" xr3:uid="{90531F86-3CC0-4A74-A24F-7D872D53F6E9}" uniqueName="13" name="DESCRIPTION PRODUCT" queryTableFieldId="13" dataDxfId="110" totalsRowDxfId="109"/>
    <tableColumn id="14" xr3:uid="{2154DB83-AB5F-4F8A-9516-9112EFC20278}" uniqueName="14" name="BRAND" queryTableFieldId="14" dataDxfId="108" totalsRowDxfId="107"/>
    <tableColumn id="15" xr3:uid="{E9E41D37-3666-4C88-A927-870DF8549706}" uniqueName="15" name="SUPPLIER" queryTableFieldId="15" dataDxfId="106" totalsRowDxfId="105"/>
    <tableColumn id="16" xr3:uid="{1DE3409F-879C-492E-B4F8-29B70A6FC7B8}" uniqueName="16" name="ARTICLE SUPPLIER" queryTableFieldId="16" dataDxfId="104" totalsRowDxfId="103"/>
    <tableColumn id="17" xr3:uid="{721C9660-5C97-4D0E-89E4-17B401FD0F84}" uniqueName="17" name="ARTICLE INTERNAL" queryTableFieldId="17" dataDxfId="102" totalsRowDxfId="101"/>
    <tableColumn id="18" xr3:uid="{2533A0D1-7B55-47F4-AA96-A6C3F4EBFAEA}" uniqueName="18" name="UNITS" queryTableFieldId="18" dataDxfId="100" totalsRowDxfId="99"/>
    <tableColumn id="19" xr3:uid="{00D1AAD1-964D-48C0-BB59-E56CB75BCB51}" uniqueName="19" name="QUANTITY SET" queryTableFieldId="19" dataDxfId="98" totalsRowDxfId="97"/>
    <tableColumn id="20" xr3:uid="{D426565C-C10A-437E-B01A-91BC16F4B675}" uniqueName="20" name="QUANTITY SHIPPED SET" queryTableFieldId="20" dataDxfId="96" totalsRowDxfId="95"/>
    <tableColumn id="21" xr3:uid="{AFC5E262-A770-4955-8BCC-DD6861BFC129}" uniqueName="21" name="QUANTITY TOTAL" queryTableFieldId="21" dataDxfId="94" totalsRowDxfId="93"/>
    <tableColumn id="22" xr3:uid="{1D95DF30-33C2-49FF-80A1-EBB02994823A}" uniqueName="22" name="QUANTITY SUPPLIER" queryTableFieldId="22" dataDxfId="92" totalsRowDxfId="91"/>
    <tableColumn id="23" xr3:uid="{511E0C5F-5CFD-4EDF-A437-A9D058B026DD}" uniqueName="23" name="PRICE UNIT $PURCHASE" queryTableFieldId="23" dataDxfId="90" totalsRowDxfId="89" dataCellStyle="Финансовый"/>
    <tableColumn id="24" xr3:uid="{C1FDDDCD-E283-41A2-AAC0-C014C473A61C}" uniqueName="24" name="COST PRICE $PURCHASE" queryTableFieldId="24" dataDxfId="88" totalsRowDxfId="87" dataCellStyle="Финансовый"/>
    <tableColumn id="25" xr3:uid="{818A6D8C-EBA1-4A16-BF0B-59653F72BCE4}" uniqueName="25" name="TCP SOURCE" queryTableFieldId="25" dataDxfId="86" totalsRowDxfId="85"/>
    <tableColumn id="26" xr3:uid="{C9B8616F-09F2-490F-AF62-4D6E6D1E1A65}" uniqueName="26" name="COMMENT WORK" queryTableFieldId="26" dataDxfId="84" totalsRowDxfId="83"/>
    <tableColumn id="28" xr3:uid="{2AA7B214-CAF9-4CE4-942B-EF1E3FF98722}" uniqueName="28" name="IMAGE PRODUCT" queryTableFieldId="28" dataDxfId="82" totalsRowDxfId="81"/>
    <tableColumn id="29" xr3:uid="{9FC09D58-909D-48ED-8560-D0FE60D67535}" uniqueName="29" name="COEFFICIENT MARKUP" queryTableFieldId="29" dataDxfId="80" totalsRowDxfId="79"/>
    <tableColumn id="30" xr3:uid="{BD8DAA5E-F542-4FF8-9712-26B71CD200A6}" uniqueName="30" name="PRICE UNIT $SALE" queryTableFieldId="30" dataDxfId="78" totalsRowDxfId="77" dataCellStyle="Финансовый"/>
    <tableColumn id="31" xr3:uid="{E83CD106-0B97-4753-8BF7-35E681B2B86F}" uniqueName="31" name="COST DEAL $SALE" queryTableFieldId="31" dataDxfId="76" totalsRowDxfId="75" dataCellStyle="Финансовый"/>
    <tableColumn id="32" xr3:uid="{BAEAA1AB-9871-4F42-BCDC-B26BBE61BEEB}" uniqueName="32" name="DISCOUNT PERCENT" queryTableFieldId="32" dataDxfId="74" totalsRowDxfId="73"/>
    <tableColumn id="33" xr3:uid="{E2CFB9D9-1C59-476E-B9FB-62B5E9C01D55}" uniqueName="33" name="DISCOUNT MONEY" queryTableFieldId="33" dataDxfId="72" totalsRowDxfId="71"/>
    <tableColumn id="34" xr3:uid="{8C0C03A1-05FD-4BD8-A2B1-8EF84BD1008E}" uniqueName="34" name="FORMULA SPECIFIC COST" queryTableFieldId="34" dataDxfId="70" totalsRowDxfId="69"/>
    <tableColumn id="35" xr3:uid="{12C5116F-4492-4F5C-9A2E-1378B1915F88}" uniqueName="35" name="PRICE UNIT $TOTAL" queryTableFieldId="35" dataDxfId="68" totalsRowDxfId="67" dataCellStyle="Финансовый"/>
    <tableColumn id="36" xr3:uid="{10F79B55-D906-4B97-AA3E-271E7B1C8A4B}" uniqueName="36" name="COST $TOTAL" totalsRowFunction="sum" queryTableFieldId="36" dataDxfId="66" totalsRowDxfId="65" dataCellStyle="Финансовый"/>
    <tableColumn id="37" xr3:uid="{C5E63DF1-F8E4-4EF0-AC37-9F4CC6A16ABB}" uniqueName="37" name="DURATION SALE $TOTAL" queryTableFieldId="37" dataDxfId="64" totalsRowDxfId="63"/>
    <tableColumn id="38" xr3:uid="{7B53041D-6260-419D-BAD3-3EBE19FF1568}" uniqueName="38" name="isSUPPLIED" queryTableFieldId="38" dataDxfId="62" totalsRowDxfId="61"/>
    <tableColumn id="39" xr3:uid="{D4A6342C-5871-4CA9-A661-98624B345000}" uniqueName="39" name="isPROCESSING" queryTableFieldId="39" dataDxfId="60" totalsRowDxfId="59"/>
    <tableColumn id="40" xr3:uid="{A772586E-91D6-4DDE-930D-ACBD2A4B99AF}" uniqueName="40" name="COMMENT CUSTOMER" totalsRowFunction="count" queryTableFieldId="40" dataDxfId="58" totalsRowDxfId="57"/>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433A3F-ADAB-41AD-A83C-B8719B434348}" name="TabHandbookProject" displayName="TabHandbookProject" ref="A1:E134" tableType="queryTable" totalsRowShown="0" headerRowDxfId="22">
  <autoFilter ref="A1:E134" xr:uid="{3A433A3F-ADAB-41AD-A83C-B8719B434348}"/>
  <tableColumns count="5">
    <tableColumn id="1" xr3:uid="{C487BB0B-A74A-4616-AA9E-407431A85BFC}" uniqueName="1" name="IDnum" queryTableFieldId="1" dataDxfId="21"/>
    <tableColumn id="3" xr3:uid="{F351F0EA-2D55-4541-847A-8F6662601956}" uniqueName="3" name="HASH COLLECTION" queryTableFieldId="3"/>
    <tableColumn id="2" xr3:uid="{168C039B-A25B-49BE-91E6-DAEAAADDE735}" uniqueName="2" name="IDprojectfull" queryTableFieldId="2" dataDxfId="20"/>
    <tableColumn id="4" xr3:uid="{9BD3B050-3189-4D01-BBD7-EEF0BA22FBD0}" uniqueName="4" name="GENERAL CONTRACTOR" queryTableFieldId="4"/>
    <tableColumn id="5" xr3:uid="{B8060009-E74C-422A-AB17-BD990B57E765}" uniqueName="5" name="PROJECT CHIEF ENGINEER" queryTableFieldId="5"/>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887490-69AA-4135-92BA-FDCE6065A4CB}" name="TabVendorAndBrand" displayName="TabVendorAndBrand" ref="A1:B88" tableType="queryTable" totalsRowShown="0" headerRowDxfId="19">
  <autoFilter ref="A1:B88" xr:uid="{4E887490-69AA-4135-92BA-FDCE6065A4CB}"/>
  <tableColumns count="2">
    <tableColumn id="1" xr3:uid="{0DBAC820-4087-47C0-959D-632D92880DC9}" uniqueName="1" name="IDvendor" queryTableFieldId="1" dataDxfId="18"/>
    <tableColumn id="2" xr3:uid="{ACA97C16-8ED5-48D0-9EFD-86BF94F0564C}" uniqueName="2" name="BRAND" queryTableFieldId="2" dataDxfId="17"/>
  </tableColumns>
  <tableStyleInfo name="TableStyleMedium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8D7691-FE5D-4204-AC5B-CA00F9A9E0CA}" name="TabHandbookSupplier" displayName="TabHandbookSupplier" ref="A1:B48" tableType="queryTable" totalsRowShown="0" headerRowDxfId="176">
  <autoFilter ref="A1:B48" xr:uid="{968D7691-FE5D-4204-AC5B-CA00F9A9E0CA}"/>
  <tableColumns count="2">
    <tableColumn id="1" xr3:uid="{2D9F11F8-FFAE-4157-A076-BC36BB0461A3}" uniqueName="1" name="IDsupplier" queryTableFieldId="3" dataDxfId="175"/>
    <tableColumn id="2" xr3:uid="{EBE9B7B3-3339-42ED-8C41-106A413D6B38}" uniqueName="2" name="COMPANY_LABEL" queryTableFieldId="2" dataDxfId="174"/>
  </tableColumns>
  <tableStyleInfo name="TableStyleMedium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0C369D-4EF9-4630-BBCA-A757CC89C26E}" name="TabHandbookUnit" displayName="TabHandbookUnit" ref="A1:B5" tableType="queryTable" totalsRowShown="0" headerRowDxfId="16">
  <autoFilter ref="A1:B5" xr:uid="{650C369D-4EF9-4630-BBCA-A757CC89C26E}"/>
  <tableColumns count="2">
    <tableColumn id="1" xr3:uid="{10BDB9F9-CCA3-439E-BF2C-EC6B9B458BCC}" uniqueName="1" name="IDnum" queryTableFieldId="1"/>
    <tableColumn id="2" xr3:uid="{0D5BE12D-F314-42B9-A7B7-69139DB2E84E}" uniqueName="2" name="UNITS" queryTableFieldId="2" dataDxfId="15"/>
  </tableColumns>
  <tableStyleInfo name="TableStyleMedium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A7DFF-0CC5-4C4C-9A2B-B1F378111DBF}" name="TabConfigJSON" displayName="TabConfigJSON" ref="A1:D7" totalsRowShown="0" headerRowDxfId="14">
  <autoFilter ref="A1:D7" xr:uid="{F15A7DFF-0CC5-4C4C-9A2B-B1F378111DBF}"/>
  <tableColumns count="4">
    <tableColumn id="1" xr3:uid="{EADDD526-A1BB-49E7-8C12-FF9F560ED170}" name="IDnum" dataDxfId="13"/>
    <tableColumn id="4" xr3:uid="{98DCC295-85E8-47DA-AFBD-C60F8D2289C3}" name="IDconfig" dataDxfId="12"/>
    <tableColumn id="2" xr3:uid="{DA12A670-2981-4AD6-9AD6-55CE1D69B953}" name="CONFIG_JSON" dataDxfId="11"/>
    <tableColumn id="3" xr3:uid="{A974DE38-498A-4F17-8A6B-82651D251480}" name="COMMENT" dataDxfId="10"/>
  </tableColumns>
  <tableStyleInfo name="TableStyleMedium21"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5-09-10T06:42:58.12" personId="{546BDB3A-668A-4D8C-87A8-0DE14755FBE5}" id="{309647A7-39FA-4D1C-9D34-F6589AA872B5}">
    <text>Автоматически заполняемый столбец.
Уникальное хэш значение, характеризуемое текущую коллекцию</text>
  </threadedComment>
  <threadedComment ref="G1" dT="2025-09-10T06:44:14.93" personId="{546BDB3A-668A-4D8C-87A8-0DE14755FBE5}" id="{CF0B5015-4158-4820-9F26-C26499DBA742}">
    <text>Коэффициент наценки</text>
  </threadedComment>
  <threadedComment ref="H1" dT="2025-09-10T06:45:02.12" personId="{546BDB3A-668A-4D8C-87A8-0DE14755FBE5}" id="{21F0EC38-F450-4B3D-9F20-24E0A5086D76}">
    <text>Цена за единицу - реализация
Автоматически заполняемый столбец</text>
  </threadedComment>
  <threadedComment ref="I1" dT="2025-09-10T06:48:58.47" personId="{546BDB3A-668A-4D8C-87A8-0DE14755FBE5}" id="{80AA62D7-622C-4FD5-BD05-73196064F988}">
    <text>Стоимость - реализация
Автоматически заполняемый столбец.</text>
  </threadedComment>
  <threadedComment ref="J1" dT="2025-09-10T06:46:39.88" personId="{546BDB3A-668A-4D8C-87A8-0DE14755FBE5}" id="{FD29CBDA-5DC6-4B24-8102-5F8F7BB14035}">
    <text>Скидка в процентах</text>
  </threadedComment>
  <threadedComment ref="K1" dT="2025-09-10T06:48:05.37" personId="{546BDB3A-668A-4D8C-87A8-0DE14755FBE5}" id="{63A27906-F095-41CD-A95D-65E7066FF0CA}">
    <text>Скидка в процентах
Автоматически заполняемый столбец.</text>
  </threadedComment>
  <threadedComment ref="L1" dT="2025-09-10T06:50:36.58" personId="{546BDB3A-668A-4D8C-87A8-0DE14755FBE5}" id="{1C6B5050-6CB5-4334-B0BF-D352BE35FCDD}">
    <text>Колонка зарезервирована для будущих изменений в методиках рассчета цены/стоимости</text>
  </threadedComment>
  <threadedComment ref="M1" dT="2026-09-08T10:54:36.31" personId="{546BDB3A-668A-4D8C-87A8-0DE14755FBE5}" id="{D0474F68-7DA7-4FC0-8BD1-134ECFB12491}">
    <text>Ставка НДС исполнителя (0.22 для ГОРИЗОНТ; 0.00 для МАС/ИП)
Автоматически заполняемый столбец</text>
  </threadedComment>
  <threadedComment ref="N1" dT="2025-09-10T06:51:06.38" personId="{546BDB3A-668A-4D8C-87A8-0DE14755FBE5}" id="{9096AD6D-0080-4F91-9D46-8ADB24D70A9C}">
    <text>Итоговая цена по позиции - реализация
Автоматически заполняемый столбец</text>
  </threadedComment>
  <threadedComment ref="O1" dT="2026-09-08T11:05:53.07" personId="{546BDB3A-668A-4D8C-87A8-0DE14755FBE5}" id="{F5520E19-1749-4935-937F-D330CD583E41}">
    <text>Исходящий НДС на ед.
Автоматически заполняемый столбец</text>
  </threadedComment>
  <threadedComment ref="P1" dT="2026-09-08T11:06:33.10" personId="{546BDB3A-668A-4D8C-87A8-0DE14755FBE5}" id="{CD8022F8-4810-4BA1-A1F9-0C15B5CF4AD3}">
    <text>Итоговая цена за ед. С НДС
Автоматически заполняемый столбец</text>
  </threadedComment>
  <threadedComment ref="Q1" dT="2025-09-10T06:51:25.57" personId="{546BDB3A-668A-4D8C-87A8-0DE14755FBE5}" id="{A186831B-F51A-48CE-8D1F-DD0498716A32}">
    <text xml:space="preserve">Итоговая стоимость по позиции - реализация
Автоматически заполняемый столбец
</text>
  </threadedComment>
  <threadedComment ref="R1" dT="2026-09-08T11:06:59.06" personId="{546BDB3A-668A-4D8C-87A8-0DE14755FBE5}" id="{7AB54C9D-A09E-42F2-9D72-BE02ECAADC92}">
    <text>Исходящий НДС на стоимость
Автоматически заполняемый столбец</text>
  </threadedComment>
  <threadedComment ref="S1" dT="2026-09-08T11:09:23.14" personId="{546BDB3A-668A-4D8C-87A8-0DE14755FBE5}" id="{8E0C7296-1BDD-4B47-A850-27FD40517584}">
    <text>Итоговая стоимость С НДС
Автоматически заполняемый столбец</text>
  </threadedComment>
  <threadedComment ref="T1" dT="2025-09-10T06:52:30.62" personId="{546BDB3A-668A-4D8C-87A8-0DE14755FBE5}" id="{9B32C0B5-C05B-484C-A693-11A0F23F77D8}">
    <text>Длительность в календарных днях реализации товара или услуги</text>
  </threadedComment>
  <threadedComment ref="U1" dT="2025-09-10T06:53:01.23" personId="{546BDB3A-668A-4D8C-87A8-0DE14755FBE5}" id="{B42D3B41-058E-4983-94A4-8C60C7C63672}">
    <text>Признак закупки позиции в данном заказе</text>
  </threadedComment>
  <threadedComment ref="V1" dT="2025-09-10T06:53:17.00" personId="{546BDB3A-668A-4D8C-87A8-0DE14755FBE5}" id="{56C833C4-D222-48BD-9788-D14B6BE0D29E}">
    <text xml:space="preserve">Признак  пост-модификации коммерческих данных данной коллекции </text>
  </threadedComment>
  <threadedComment ref="W1" dT="2025-09-10T06:54:08.95" personId="{546BDB3A-668A-4D8C-87A8-0DE14755FBE5}" id="{F8030F50-FD87-4745-A651-025560126A86}">
    <text>Комментарии, открытый - для заказчика, полезная информация по позиции в свободной форме</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8-18T09:05:32.10" personId="{546BDB3A-668A-4D8C-87A8-0DE14755FBE5}" id="{677E766F-DCD2-40C5-BCF6-694B76559E7B}">
    <text>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ext>
  </threadedComment>
  <threadedComment ref="B1" dT="2025-08-18T09:01:09.84" personId="{546BDB3A-668A-4D8C-87A8-0DE14755FBE5}" id="{9097B5E4-5BB8-495D-920F-57E4FE5CA3D9}">
    <text>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ext>
  </threadedComment>
  <threadedComment ref="C1" dT="2025-08-18T09:23:09.20" personId="{546BDB3A-668A-4D8C-87A8-0DE14755FBE5}" id="{EAFE6082-86D5-4614-8F32-BA64CCE0A820}">
    <text>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ext>
  </threadedComment>
  <threadedComment ref="D1" dT="2025-08-18T09:10:04.85" personId="{546BDB3A-668A-4D8C-87A8-0DE14755FBE5}" id="{324BD8BD-4E4A-4D8A-8018-FCE55CC73CF0}">
    <text>Комментарий определяющий назначение конфигурационного JSON объекта.</text>
  </threadedComment>
</ThreadedComment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7.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788F-427C-4C8A-973B-3BED45D75508}">
  <dimension ref="A1:W4"/>
  <sheetViews>
    <sheetView workbookViewId="0">
      <pane ySplit="1" topLeftCell="A2" activePane="bottomLeft" state="frozen"/>
      <selection pane="bottomLeft" activeCell="F12" sqref="F12"/>
    </sheetView>
  </sheetViews>
  <sheetFormatPr defaultRowHeight="14.4" x14ac:dyDescent="0.3"/>
  <cols>
    <col min="1" max="1" width="25.109375" style="25" hidden="1" customWidth="1"/>
    <col min="2" max="2" width="11.33203125" style="10" hidden="1" customWidth="1"/>
    <col min="3" max="3" width="10.5546875" style="10" hidden="1" customWidth="1"/>
    <col min="4" max="4" width="25.109375" style="25" hidden="1" customWidth="1"/>
    <col min="5" max="5" width="37" style="20" hidden="1" customWidth="1"/>
    <col min="6" max="6" width="37.5546875" customWidth="1"/>
    <col min="7" max="7" width="15.6640625" customWidth="1"/>
    <col min="8" max="8" width="12.88671875" customWidth="1"/>
    <col min="9" max="9" width="15.33203125" customWidth="1"/>
    <col min="10" max="10" width="10.88671875" customWidth="1"/>
    <col min="11" max="11" width="15.5546875" customWidth="1"/>
    <col min="12" max="12" width="11.33203125" customWidth="1"/>
    <col min="13" max="13" width="16" customWidth="1"/>
    <col min="14" max="14" width="14.33203125" customWidth="1"/>
    <col min="15" max="15" width="15.88671875" customWidth="1"/>
    <col min="16" max="16" width="12.44140625" customWidth="1"/>
    <col min="17" max="17" width="13.6640625" customWidth="1"/>
    <col min="18" max="18" width="14.77734375" customWidth="1"/>
    <col min="19" max="19" width="15.88671875" customWidth="1"/>
    <col min="20" max="22" width="17.5546875" bestFit="1" customWidth="1"/>
    <col min="23" max="23" width="35.88671875" customWidth="1"/>
  </cols>
  <sheetData>
    <row r="1" spans="1:23" ht="43.8" thickBot="1" x14ac:dyDescent="0.35">
      <c r="A1" s="13" t="s">
        <v>5</v>
      </c>
      <c r="B1" s="13" t="s">
        <v>8</v>
      </c>
      <c r="C1" s="13" t="s">
        <v>126</v>
      </c>
      <c r="D1" s="13" t="s">
        <v>11</v>
      </c>
      <c r="E1" s="47" t="s">
        <v>10</v>
      </c>
      <c r="F1" s="14" t="s">
        <v>10</v>
      </c>
      <c r="G1" s="14" t="s">
        <v>127</v>
      </c>
      <c r="H1" s="14" t="s">
        <v>128</v>
      </c>
      <c r="I1" s="15" t="s">
        <v>129</v>
      </c>
      <c r="J1" s="14" t="s">
        <v>130</v>
      </c>
      <c r="K1" s="14" t="s">
        <v>131</v>
      </c>
      <c r="L1" s="14" t="s">
        <v>132</v>
      </c>
      <c r="M1" s="14" t="s">
        <v>478</v>
      </c>
      <c r="N1" s="14" t="s">
        <v>133</v>
      </c>
      <c r="O1" s="14" t="s">
        <v>479</v>
      </c>
      <c r="P1" s="14" t="s">
        <v>480</v>
      </c>
      <c r="Q1" s="14" t="s">
        <v>134</v>
      </c>
      <c r="R1" s="14" t="s">
        <v>481</v>
      </c>
      <c r="S1" s="14" t="s">
        <v>482</v>
      </c>
      <c r="T1" s="14" t="s">
        <v>135</v>
      </c>
      <c r="U1" s="14" t="s">
        <v>136</v>
      </c>
      <c r="V1" s="14" t="s">
        <v>137</v>
      </c>
      <c r="W1" s="14" t="s">
        <v>138</v>
      </c>
    </row>
    <row r="2" spans="1:23" ht="28.8" x14ac:dyDescent="0.3">
      <c r="A2" s="25" t="str" cm="1">
        <f t="array" ref="A2:E4">_xlfn.CHOOSECOLS(#REF!,6,9,5,12,11)</f>
        <v xml:space="preserve">Комплект активного сетевого оборудования </v>
      </c>
      <c r="B2" s="10" t="str">
        <v>2.4</v>
      </c>
      <c r="C2" s="10">
        <v>3</v>
      </c>
      <c r="D2" s="25" t="str">
        <v>Коммутатор L3, OS3228</v>
      </c>
      <c r="E2" s="20" t="str">
        <v>1/2024-n4-горизонт-ver_3-set_2.4-true</v>
      </c>
      <c r="F2" s="19" t="str">
        <f>E2</f>
        <v>1/2024-n4-горизонт-ver_3-set_2.4-true</v>
      </c>
      <c r="G2" s="34">
        <v>3.77</v>
      </c>
      <c r="H2" s="27">
        <f>TabSpecificationWork_2[[#This Row],[COEFFICIENT MARKUP]]*#REF!</f>
        <v>60320</v>
      </c>
      <c r="I2" s="28">
        <f>#REF!*TabSpecificationWork_2[[#This Row],[PRICE UNIT $SALE]]</f>
        <v>60320</v>
      </c>
      <c r="J2" s="17">
        <v>0</v>
      </c>
      <c r="K2" s="29">
        <f>(TabSpecificationWork_2[[#This Row],[COST DEAL $SALE]]/100)*TabSpecificationWork_2[[#This Row],[DISCOUNT PERCENT]]</f>
        <v>0</v>
      </c>
      <c r="L2" s="30"/>
      <c r="M2" s="65"/>
      <c r="N2" s="31">
        <f>TabSpecificationWork_2[[#This Row],[PRICE UNIT $SALE]]</f>
        <v>60320</v>
      </c>
      <c r="O2" s="66"/>
      <c r="P2" s="66"/>
      <c r="Q2" s="32">
        <f>TabSpecificationWork_2[[#This Row],[COST DEAL $SALE]]-TabSpecificationWork_2[[#This Row],[DISCOUNT MONEY]]</f>
        <v>60320</v>
      </c>
      <c r="R2" s="65"/>
      <c r="S2" s="65"/>
      <c r="T2" s="67"/>
      <c r="U2" s="17" t="s">
        <v>29</v>
      </c>
      <c r="V2" s="17" t="s">
        <v>38</v>
      </c>
      <c r="W2" s="44" t="s">
        <v>139</v>
      </c>
    </row>
    <row r="3" spans="1:23" ht="43.2" x14ac:dyDescent="0.3">
      <c r="A3" s="25" t="str">
        <v>Комплект модулей для активного сетевого оборудования</v>
      </c>
      <c r="B3" s="10" t="str">
        <v>4.5</v>
      </c>
      <c r="C3" s="10">
        <v>3</v>
      </c>
      <c r="D3" s="25" t="str">
        <v>DEM-432XT</v>
      </c>
      <c r="E3" s="20" t="str">
        <v>1/2024-n4-горизонт-ver_3-set_4.5-false</v>
      </c>
      <c r="F3" s="19" t="str">
        <f t="shared" ref="F3:F4" si="0">E3</f>
        <v>1/2024-n4-горизонт-ver_3-set_4.5-false</v>
      </c>
      <c r="G3" s="34">
        <v>1.1499999999999999</v>
      </c>
      <c r="H3" s="27">
        <f>TabSpecificationWork_2[[#This Row],[COEFFICIENT MARKUP]]*#REF!</f>
        <v>4324</v>
      </c>
      <c r="I3" s="28">
        <f>#REF!*TabSpecificationWork_2[[#This Row],[PRICE UNIT $SALE]]</f>
        <v>34592</v>
      </c>
      <c r="J3" s="17">
        <v>0</v>
      </c>
      <c r="K3" s="29">
        <f>(TabSpecificationWork_2[[#This Row],[COST DEAL $SALE]]/100)*TabSpecificationWork_2[[#This Row],[DISCOUNT PERCENT]]</f>
        <v>0</v>
      </c>
      <c r="L3" s="33"/>
      <c r="M3" s="65"/>
      <c r="N3" s="31">
        <f>TabSpecificationWork_2[[#This Row],[PRICE UNIT $SALE]]</f>
        <v>4324</v>
      </c>
      <c r="O3" s="66"/>
      <c r="P3" s="66"/>
      <c r="Q3" s="32">
        <f>TabSpecificationWork_2[[#This Row],[COST DEAL $SALE]]-TabSpecificationWork_2[[#This Row],[DISCOUNT MONEY]]</f>
        <v>34592</v>
      </c>
      <c r="R3" s="65"/>
      <c r="S3" s="65"/>
      <c r="T3" s="67"/>
      <c r="U3" s="18" t="s">
        <v>29</v>
      </c>
      <c r="V3" s="18" t="s">
        <v>29</v>
      </c>
      <c r="W3" s="45"/>
    </row>
    <row r="4" spans="1:23" ht="43.2" x14ac:dyDescent="0.3">
      <c r="A4" s="25" t="str">
        <v>Комплект модулей для активного сетевого оборудования</v>
      </c>
      <c r="B4" s="10" t="str">
        <v>4.6</v>
      </c>
      <c r="C4" s="10">
        <v>3</v>
      </c>
      <c r="D4" s="25" t="str">
        <v>Модуль SFP с интерфейсом RJ45, до 100м</v>
      </c>
      <c r="E4" s="20" t="str">
        <v>1/2024-n4-горизонт-ver_3-set_4.6-true</v>
      </c>
      <c r="F4" s="19" t="str">
        <f t="shared" si="0"/>
        <v>1/2024-n4-горизонт-ver_3-set_4.6-true</v>
      </c>
      <c r="G4" s="34">
        <v>1.1000000000000001</v>
      </c>
      <c r="H4" s="27">
        <f>TabSpecificationWork_2[[#This Row],[COEFFICIENT MARKUP]]*#REF!</f>
        <v>2695</v>
      </c>
      <c r="I4" s="28">
        <f>#REF!*TabSpecificationWork_2[[#This Row],[PRICE UNIT $SALE]]</f>
        <v>10780</v>
      </c>
      <c r="J4" s="17">
        <v>0</v>
      </c>
      <c r="K4" s="29">
        <f>(TabSpecificationWork_2[[#This Row],[COST DEAL $SALE]]/100)*TabSpecificationWork_2[[#This Row],[DISCOUNT PERCENT]]</f>
        <v>0</v>
      </c>
      <c r="L4" s="33"/>
      <c r="M4" s="65"/>
      <c r="N4" s="31">
        <f>TabSpecificationWork_2[[#This Row],[PRICE UNIT $SALE]]</f>
        <v>2695</v>
      </c>
      <c r="O4" s="66"/>
      <c r="P4" s="66"/>
      <c r="Q4" s="32">
        <f>TabSpecificationWork_2[[#This Row],[COST DEAL $SALE]]-TabSpecificationWork_2[[#This Row],[DISCOUNT MONEY]]</f>
        <v>10780</v>
      </c>
      <c r="R4" s="65"/>
      <c r="S4" s="65"/>
      <c r="T4" s="67"/>
      <c r="U4" s="18" t="s">
        <v>38</v>
      </c>
      <c r="V4" s="18" t="s">
        <v>38</v>
      </c>
      <c r="W4" s="45" t="s">
        <v>140</v>
      </c>
    </row>
  </sheetData>
  <protectedRanges>
    <protectedRange algorithmName="SHA-512" hashValue="ClrlULK2rSOnWAW8ESQdR0iexPhR1fvgw1b4VdzkI7+WxUstHdimQPQmGWzIrHMbKjcmExZVhYnBnmivRBHq/A==" saltValue="HinO+kCkV4wHuu0/nS5IsQ==" spinCount="100000" sqref="A1:D1048576" name="SpecificationWork_1_segment" securityDescriptor="O:WDG:WDD:(A;;CC;;;S-1-5-21-1937151985-3284409454-3114792232-1001)"/>
  </protectedRanges>
  <autoFilter ref="A1:D9" xr:uid="{8BE1788F-427C-4C8A-973B-3BED45D75508}"/>
  <phoneticPr fontId="19" type="noConversion"/>
  <conditionalFormatting sqref="F2:F4">
    <cfRule type="notContainsBlanks" dxfId="9" priority="11">
      <formula>LEN(TRIM(F2))&gt;0</formula>
    </cfRule>
  </conditionalFormatting>
  <conditionalFormatting sqref="H2:H4">
    <cfRule type="notContainsBlanks" dxfId="8" priority="10">
      <formula>LEN(TRIM(H2))&gt;0</formula>
    </cfRule>
  </conditionalFormatting>
  <conditionalFormatting sqref="I2:I4">
    <cfRule type="notContainsBlanks" dxfId="7" priority="9">
      <formula>LEN(TRIM(I2))&gt;0</formula>
    </cfRule>
  </conditionalFormatting>
  <conditionalFormatting sqref="K2:K4">
    <cfRule type="notContainsBlanks" dxfId="6" priority="8">
      <formula>LEN(TRIM(K2))&gt;0</formula>
    </cfRule>
  </conditionalFormatting>
  <conditionalFormatting sqref="M2:M4">
    <cfRule type="notContainsBlanks" dxfId="5" priority="6">
      <formula>LEN(TRIM(M2))&gt;0</formula>
    </cfRule>
  </conditionalFormatting>
  <conditionalFormatting sqref="O2:O4">
    <cfRule type="notContainsBlanks" dxfId="4" priority="4">
      <formula>LEN(TRIM(O2))&gt;0</formula>
    </cfRule>
  </conditionalFormatting>
  <conditionalFormatting sqref="P2:P4">
    <cfRule type="notContainsBlanks" dxfId="3" priority="3">
      <formula>LEN(TRIM(P2))&gt;0</formula>
    </cfRule>
  </conditionalFormatting>
  <conditionalFormatting sqref="R2:R4">
    <cfRule type="notContainsBlanks" dxfId="2" priority="2">
      <formula>LEN(TRIM(R2))&gt;0</formula>
    </cfRule>
  </conditionalFormatting>
  <conditionalFormatting sqref="S2:S4">
    <cfRule type="notContainsBlanks" dxfId="1" priority="1">
      <formula>LEN(TRIM(S2))&gt;0</formula>
    </cfRule>
  </conditionalFormatting>
  <conditionalFormatting sqref="V2:V4">
    <cfRule type="expression" dxfId="0" priority="5">
      <formula>IF($V2="true",1,0)</formula>
    </cfRule>
  </conditionalFormatting>
  <dataValidations count="2">
    <dataValidation type="list" showInputMessage="1" showErrorMessage="1" sqref="V2:V4" xr:uid="{0140C6BC-EE55-4B04-856D-84DE8E6BB8E2}">
      <formula1>"false,true,"</formula1>
    </dataValidation>
    <dataValidation type="list" showInputMessage="1" showErrorMessage="1" sqref="U2:U4" xr:uid="{AE30E414-4F03-4AC9-8B9A-9DAE797387C1}">
      <formula1>"true,false,"</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826D-28F8-4FB6-8314-898C0153C1C4}">
  <dimension ref="A1:AM31"/>
  <sheetViews>
    <sheetView tabSelected="1" topLeftCell="L1" zoomScale="85" zoomScaleNormal="85" workbookViewId="0">
      <pane ySplit="1" topLeftCell="A4" activePane="bottomLeft" state="frozen"/>
      <selection pane="bottomLeft" activeCell="Q5" sqref="Q5"/>
    </sheetView>
  </sheetViews>
  <sheetFormatPr defaultRowHeight="14.4" x14ac:dyDescent="0.3"/>
  <cols>
    <col min="1" max="1" width="12.109375" bestFit="1" customWidth="1"/>
    <col min="2" max="2" width="14" bestFit="1" customWidth="1"/>
    <col min="3" max="3" width="20.44140625" bestFit="1" customWidth="1"/>
    <col min="4" max="4" width="17.44140625" bestFit="1" customWidth="1"/>
    <col min="5" max="5" width="21.109375" bestFit="1" customWidth="1"/>
    <col min="6" max="6" width="66.6640625" bestFit="1" customWidth="1"/>
    <col min="7" max="7" width="10.6640625" bestFit="1" customWidth="1"/>
    <col min="8" max="8" width="24.6640625" bestFit="1" customWidth="1"/>
    <col min="9" max="9" width="19.21875" bestFit="1" customWidth="1"/>
    <col min="10" max="10" width="15.109375" bestFit="1" customWidth="1"/>
    <col min="11" max="11" width="36.33203125" bestFit="1" customWidth="1"/>
    <col min="12" max="12" width="80.88671875" bestFit="1" customWidth="1"/>
    <col min="13" max="13" width="63" bestFit="1" customWidth="1"/>
    <col min="14" max="14" width="12.6640625" bestFit="1" customWidth="1"/>
    <col min="15" max="15" width="14.5546875" bestFit="1" customWidth="1"/>
    <col min="16" max="16" width="22.44140625" bestFit="1" customWidth="1"/>
    <col min="17" max="17" width="22.88671875" bestFit="1" customWidth="1"/>
    <col min="18" max="18" width="11.5546875" bestFit="1" customWidth="1"/>
    <col min="19" max="19" width="19.21875" bestFit="1" customWidth="1"/>
    <col min="20" max="20" width="27.5546875" bestFit="1" customWidth="1"/>
    <col min="21" max="21" width="21.77734375" bestFit="1" customWidth="1"/>
    <col min="22" max="22" width="24.5546875" bestFit="1" customWidth="1"/>
    <col min="23" max="23" width="27.33203125" bestFit="1" customWidth="1"/>
    <col min="24" max="24" width="27.6640625" bestFit="1" customWidth="1"/>
    <col min="25" max="25" width="17.109375" bestFit="1" customWidth="1"/>
    <col min="26" max="26" width="80.88671875" bestFit="1" customWidth="1"/>
    <col min="27" max="27" width="21.44140625" bestFit="1" customWidth="1"/>
    <col min="28" max="28" width="26" bestFit="1" customWidth="1"/>
    <col min="29" max="29" width="22" bestFit="1" customWidth="1"/>
    <col min="30" max="30" width="21.88671875" bestFit="1" customWidth="1"/>
    <col min="31" max="31" width="24.109375" bestFit="1" customWidth="1"/>
    <col min="32" max="32" width="22.88671875" bestFit="1" customWidth="1"/>
    <col min="33" max="33" width="28.33203125" bestFit="1" customWidth="1"/>
    <col min="34" max="34" width="23.6640625" bestFit="1" customWidth="1"/>
    <col min="35" max="35" width="18.109375" bestFit="1" customWidth="1"/>
    <col min="36" max="36" width="20.77734375" bestFit="1" customWidth="1"/>
    <col min="37" max="37" width="16" bestFit="1" customWidth="1"/>
    <col min="38" max="38" width="18.88671875" bestFit="1" customWidth="1"/>
    <col min="39" max="39" width="80.88671875" bestFit="1" customWidth="1"/>
    <col min="40" max="40" width="81.109375" bestFit="1" customWidth="1"/>
  </cols>
  <sheetData>
    <row r="1" spans="1:39" ht="28.8" x14ac:dyDescent="0.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127</v>
      </c>
      <c r="AC1" s="11" t="s">
        <v>128</v>
      </c>
      <c r="AD1" s="11" t="s">
        <v>129</v>
      </c>
      <c r="AE1" s="11" t="s">
        <v>130</v>
      </c>
      <c r="AF1" s="11" t="s">
        <v>131</v>
      </c>
      <c r="AG1" s="11" t="s">
        <v>132</v>
      </c>
      <c r="AH1" s="11" t="s">
        <v>133</v>
      </c>
      <c r="AI1" s="11" t="s">
        <v>134</v>
      </c>
      <c r="AJ1" s="11" t="s">
        <v>135</v>
      </c>
      <c r="AK1" s="11" t="s">
        <v>136</v>
      </c>
      <c r="AL1" s="11" t="s">
        <v>137</v>
      </c>
      <c r="AM1" s="11" t="s">
        <v>138</v>
      </c>
    </row>
    <row r="2" spans="1:39" ht="244.8" x14ac:dyDescent="0.3">
      <c r="A2" s="56">
        <v>1</v>
      </c>
      <c r="B2" s="56">
        <v>0</v>
      </c>
      <c r="C2" s="56" t="s">
        <v>27</v>
      </c>
      <c r="D2" s="56" t="s">
        <v>145</v>
      </c>
      <c r="E2" s="56">
        <v>3</v>
      </c>
      <c r="F2" s="57" t="s">
        <v>28</v>
      </c>
      <c r="G2" s="56">
        <v>2</v>
      </c>
      <c r="H2" s="56">
        <v>4</v>
      </c>
      <c r="I2" s="56" t="s">
        <v>146</v>
      </c>
      <c r="J2" s="56" t="s">
        <v>29</v>
      </c>
      <c r="K2" s="56" t="s">
        <v>147</v>
      </c>
      <c r="L2" s="57" t="s">
        <v>30</v>
      </c>
      <c r="M2" s="57" t="s">
        <v>31</v>
      </c>
      <c r="N2" s="56" t="s">
        <v>32</v>
      </c>
      <c r="O2" s="56" t="s">
        <v>33</v>
      </c>
      <c r="P2" s="58" t="s">
        <v>34</v>
      </c>
      <c r="Q2" s="56"/>
      <c r="R2" s="56" t="s">
        <v>35</v>
      </c>
      <c r="S2" s="56">
        <v>1</v>
      </c>
      <c r="T2" s="56">
        <v>1</v>
      </c>
      <c r="U2" s="56">
        <v>1</v>
      </c>
      <c r="V2" s="56">
        <v>5</v>
      </c>
      <c r="W2" s="59">
        <v>16000</v>
      </c>
      <c r="X2" s="59">
        <v>16000</v>
      </c>
      <c r="Y2" s="60"/>
      <c r="Z2" s="57" t="s">
        <v>36</v>
      </c>
      <c r="AA2" s="60"/>
      <c r="AB2" s="61">
        <v>3.77</v>
      </c>
      <c r="AC2" s="59">
        <v>60320</v>
      </c>
      <c r="AD2" s="59">
        <v>60320</v>
      </c>
      <c r="AE2" s="60">
        <v>0</v>
      </c>
      <c r="AF2" s="60">
        <v>0</v>
      </c>
      <c r="AG2" s="60"/>
      <c r="AH2" s="59">
        <v>60320</v>
      </c>
      <c r="AI2" s="59">
        <v>60320</v>
      </c>
      <c r="AJ2" s="60"/>
      <c r="AK2" s="56" t="s">
        <v>29</v>
      </c>
      <c r="AL2" s="56" t="s">
        <v>38</v>
      </c>
      <c r="AM2" s="62" t="s">
        <v>139</v>
      </c>
    </row>
    <row r="3" spans="1:39" ht="187.2" x14ac:dyDescent="0.3">
      <c r="A3" s="17">
        <v>2</v>
      </c>
      <c r="B3" s="17">
        <v>0</v>
      </c>
      <c r="C3" s="17" t="s">
        <v>27</v>
      </c>
      <c r="D3" s="17" t="s">
        <v>145</v>
      </c>
      <c r="E3" s="17">
        <v>3</v>
      </c>
      <c r="F3" s="42" t="s">
        <v>37</v>
      </c>
      <c r="G3" s="17">
        <v>4</v>
      </c>
      <c r="H3" s="17">
        <v>5</v>
      </c>
      <c r="I3" s="17" t="s">
        <v>148</v>
      </c>
      <c r="J3" s="17" t="s">
        <v>38</v>
      </c>
      <c r="K3" s="17" t="s">
        <v>149</v>
      </c>
      <c r="L3" s="42" t="s">
        <v>39</v>
      </c>
      <c r="M3" s="42" t="s">
        <v>40</v>
      </c>
      <c r="N3" s="17" t="s">
        <v>41</v>
      </c>
      <c r="O3" s="17" t="s">
        <v>42</v>
      </c>
      <c r="P3" s="43" t="s">
        <v>43</v>
      </c>
      <c r="Q3" s="17"/>
      <c r="R3" s="17" t="s">
        <v>35</v>
      </c>
      <c r="S3" s="17">
        <v>8</v>
      </c>
      <c r="T3" s="17">
        <v>1</v>
      </c>
      <c r="U3" s="17">
        <v>8</v>
      </c>
      <c r="V3" s="17">
        <v>8</v>
      </c>
      <c r="W3" s="31">
        <v>3760</v>
      </c>
      <c r="X3" s="31">
        <v>30080</v>
      </c>
      <c r="Y3" s="30"/>
      <c r="Z3" s="42" t="s">
        <v>44</v>
      </c>
      <c r="AA3" s="30"/>
      <c r="AB3" s="35">
        <v>1.1499999999999999</v>
      </c>
      <c r="AC3" s="31">
        <v>4324</v>
      </c>
      <c r="AD3" s="31">
        <v>34592</v>
      </c>
      <c r="AE3" s="30">
        <v>0</v>
      </c>
      <c r="AF3" s="30">
        <v>0</v>
      </c>
      <c r="AG3" s="30"/>
      <c r="AH3" s="31">
        <v>4324</v>
      </c>
      <c r="AI3" s="31">
        <v>34592</v>
      </c>
      <c r="AJ3" s="30"/>
      <c r="AK3" s="17" t="s">
        <v>29</v>
      </c>
      <c r="AL3" s="17" t="s">
        <v>29</v>
      </c>
      <c r="AM3" s="46"/>
    </row>
    <row r="4" spans="1:39" ht="100.8" x14ac:dyDescent="0.3">
      <c r="A4" s="17">
        <v>3</v>
      </c>
      <c r="B4" s="17">
        <v>0</v>
      </c>
      <c r="C4" s="17" t="s">
        <v>27</v>
      </c>
      <c r="D4" s="17" t="s">
        <v>145</v>
      </c>
      <c r="E4" s="17">
        <v>3</v>
      </c>
      <c r="F4" s="42" t="s">
        <v>37</v>
      </c>
      <c r="G4" s="17">
        <v>4</v>
      </c>
      <c r="H4" s="17">
        <v>6</v>
      </c>
      <c r="I4" s="17" t="s">
        <v>150</v>
      </c>
      <c r="J4" s="17" t="s">
        <v>29</v>
      </c>
      <c r="K4" s="17" t="s">
        <v>151</v>
      </c>
      <c r="L4" s="42" t="s">
        <v>45</v>
      </c>
      <c r="M4" s="42" t="s">
        <v>46</v>
      </c>
      <c r="N4" s="17" t="s">
        <v>47</v>
      </c>
      <c r="O4" s="17" t="s">
        <v>48</v>
      </c>
      <c r="P4" s="43" t="s">
        <v>49</v>
      </c>
      <c r="Q4" s="17"/>
      <c r="R4" s="17" t="s">
        <v>35</v>
      </c>
      <c r="S4" s="17">
        <v>4</v>
      </c>
      <c r="T4" s="17">
        <v>1</v>
      </c>
      <c r="U4" s="17">
        <v>4</v>
      </c>
      <c r="V4" s="17">
        <v>1000</v>
      </c>
      <c r="W4" s="31">
        <v>2450</v>
      </c>
      <c r="X4" s="31">
        <v>9800</v>
      </c>
      <c r="Y4" s="30"/>
      <c r="Z4" s="42" t="s">
        <v>50</v>
      </c>
      <c r="AA4" s="30"/>
      <c r="AB4" s="35">
        <v>1.1000000000000001</v>
      </c>
      <c r="AC4" s="31">
        <v>2695</v>
      </c>
      <c r="AD4" s="31">
        <v>10780</v>
      </c>
      <c r="AE4" s="30">
        <v>0</v>
      </c>
      <c r="AF4" s="30">
        <v>0</v>
      </c>
      <c r="AG4" s="30"/>
      <c r="AH4" s="31">
        <v>2695</v>
      </c>
      <c r="AI4" s="31">
        <v>10780</v>
      </c>
      <c r="AJ4" s="30"/>
      <c r="AK4" s="17" t="s">
        <v>38</v>
      </c>
      <c r="AL4" s="17" t="s">
        <v>38</v>
      </c>
      <c r="AM4" s="46" t="s">
        <v>140</v>
      </c>
    </row>
    <row r="5" spans="1:39" ht="86.4" x14ac:dyDescent="0.3">
      <c r="A5" s="17">
        <v>4</v>
      </c>
      <c r="B5" s="17">
        <v>0</v>
      </c>
      <c r="C5" s="17" t="s">
        <v>27</v>
      </c>
      <c r="D5" s="17" t="s">
        <v>145</v>
      </c>
      <c r="E5" s="17">
        <v>3</v>
      </c>
      <c r="F5" s="42" t="s">
        <v>51</v>
      </c>
      <c r="G5" s="17">
        <v>3</v>
      </c>
      <c r="H5" s="17">
        <v>1</v>
      </c>
      <c r="I5" s="17" t="s">
        <v>152</v>
      </c>
      <c r="J5" s="17" t="s">
        <v>29</v>
      </c>
      <c r="K5" s="17" t="s">
        <v>153</v>
      </c>
      <c r="L5" s="42" t="s">
        <v>52</v>
      </c>
      <c r="M5" s="42" t="s">
        <v>53</v>
      </c>
      <c r="N5" s="17" t="s">
        <v>54</v>
      </c>
      <c r="O5" s="17" t="s">
        <v>55</v>
      </c>
      <c r="P5" s="43" t="s">
        <v>56</v>
      </c>
      <c r="Q5" s="17"/>
      <c r="R5" s="17" t="s">
        <v>35</v>
      </c>
      <c r="S5" s="17">
        <v>22</v>
      </c>
      <c r="T5" s="17">
        <v>1</v>
      </c>
      <c r="U5" s="17">
        <v>22</v>
      </c>
      <c r="V5" s="17">
        <v>25</v>
      </c>
      <c r="W5" s="31">
        <v>615</v>
      </c>
      <c r="X5" s="31">
        <v>13530</v>
      </c>
      <c r="Y5" s="30"/>
      <c r="Z5" s="42" t="s">
        <v>57</v>
      </c>
      <c r="AA5" s="30"/>
      <c r="AB5" s="35">
        <v>1.35</v>
      </c>
      <c r="AC5" s="31">
        <v>830.25</v>
      </c>
      <c r="AD5" s="31">
        <v>18265.5</v>
      </c>
      <c r="AE5" s="30">
        <v>0</v>
      </c>
      <c r="AF5" s="30">
        <v>0</v>
      </c>
      <c r="AG5" s="30"/>
      <c r="AH5" s="31">
        <v>830.25</v>
      </c>
      <c r="AI5" s="31">
        <v>18265.5</v>
      </c>
      <c r="AJ5" s="30"/>
      <c r="AK5" s="17" t="s">
        <v>29</v>
      </c>
      <c r="AL5" s="17" t="s">
        <v>29</v>
      </c>
      <c r="AM5" s="46" t="s">
        <v>141</v>
      </c>
    </row>
    <row r="6" spans="1:39" ht="43.2" x14ac:dyDescent="0.3">
      <c r="A6" s="17">
        <v>5</v>
      </c>
      <c r="B6" s="17">
        <v>0</v>
      </c>
      <c r="C6" s="17" t="s">
        <v>27</v>
      </c>
      <c r="D6" s="17" t="s">
        <v>145</v>
      </c>
      <c r="E6" s="17">
        <v>3</v>
      </c>
      <c r="F6" s="42" t="s">
        <v>51</v>
      </c>
      <c r="G6" s="17">
        <v>3</v>
      </c>
      <c r="H6" s="17">
        <v>2</v>
      </c>
      <c r="I6" s="17" t="s">
        <v>154</v>
      </c>
      <c r="J6" s="17" t="s">
        <v>29</v>
      </c>
      <c r="K6" s="17" t="s">
        <v>155</v>
      </c>
      <c r="L6" s="42" t="s">
        <v>58</v>
      </c>
      <c r="M6" s="42" t="s">
        <v>59</v>
      </c>
      <c r="N6" s="17" t="s">
        <v>60</v>
      </c>
      <c r="O6" s="17" t="s">
        <v>55</v>
      </c>
      <c r="P6" s="43" t="s">
        <v>61</v>
      </c>
      <c r="Q6" s="17"/>
      <c r="R6" s="17" t="s">
        <v>35</v>
      </c>
      <c r="S6" s="17">
        <v>4</v>
      </c>
      <c r="T6" s="17">
        <v>1</v>
      </c>
      <c r="U6" s="17">
        <v>4</v>
      </c>
      <c r="V6" s="17">
        <v>100</v>
      </c>
      <c r="W6" s="31">
        <v>649</v>
      </c>
      <c r="X6" s="31">
        <v>2596</v>
      </c>
      <c r="Y6" s="30"/>
      <c r="Z6" s="42" t="s">
        <v>62</v>
      </c>
      <c r="AA6" s="30"/>
      <c r="AB6" s="35">
        <v>1.35</v>
      </c>
      <c r="AC6" s="31">
        <v>876.15000000000009</v>
      </c>
      <c r="AD6" s="31">
        <v>3504.6000000000004</v>
      </c>
      <c r="AE6" s="30">
        <v>0</v>
      </c>
      <c r="AF6" s="30">
        <v>0</v>
      </c>
      <c r="AG6" s="30"/>
      <c r="AH6" s="31">
        <v>876.15000000000009</v>
      </c>
      <c r="AI6" s="31">
        <v>3504.6000000000004</v>
      </c>
      <c r="AJ6" s="30"/>
      <c r="AK6" s="17" t="s">
        <v>29</v>
      </c>
      <c r="AL6" s="17" t="s">
        <v>38</v>
      </c>
      <c r="AM6" s="46" t="s">
        <v>142</v>
      </c>
    </row>
    <row r="7" spans="1:39" ht="43.2" x14ac:dyDescent="0.3">
      <c r="A7" s="17">
        <v>6</v>
      </c>
      <c r="B7" s="17">
        <v>0</v>
      </c>
      <c r="C7" s="17" t="s">
        <v>27</v>
      </c>
      <c r="D7" s="17" t="s">
        <v>145</v>
      </c>
      <c r="E7" s="17">
        <v>3</v>
      </c>
      <c r="F7" s="42" t="s">
        <v>51</v>
      </c>
      <c r="G7" s="17">
        <v>3</v>
      </c>
      <c r="H7" s="17">
        <v>3</v>
      </c>
      <c r="I7" s="17" t="s">
        <v>156</v>
      </c>
      <c r="J7" s="17" t="s">
        <v>29</v>
      </c>
      <c r="K7" s="17" t="s">
        <v>157</v>
      </c>
      <c r="L7" s="42" t="s">
        <v>63</v>
      </c>
      <c r="M7" s="42" t="s">
        <v>64</v>
      </c>
      <c r="N7" s="17" t="s">
        <v>60</v>
      </c>
      <c r="O7" s="17" t="s">
        <v>55</v>
      </c>
      <c r="P7" s="43" t="s">
        <v>65</v>
      </c>
      <c r="Q7" s="17"/>
      <c r="R7" s="17" t="s">
        <v>35</v>
      </c>
      <c r="S7" s="17">
        <v>4</v>
      </c>
      <c r="T7" s="17">
        <v>1</v>
      </c>
      <c r="U7" s="17">
        <v>4</v>
      </c>
      <c r="V7" s="17">
        <v>5</v>
      </c>
      <c r="W7" s="31">
        <v>470</v>
      </c>
      <c r="X7" s="31">
        <v>1880</v>
      </c>
      <c r="Y7" s="30"/>
      <c r="Z7" s="42" t="s">
        <v>62</v>
      </c>
      <c r="AA7" s="30"/>
      <c r="AB7" s="35">
        <v>1.35</v>
      </c>
      <c r="AC7" s="31">
        <v>634.5</v>
      </c>
      <c r="AD7" s="31">
        <v>2538</v>
      </c>
      <c r="AE7" s="30">
        <v>0</v>
      </c>
      <c r="AF7" s="30">
        <v>0</v>
      </c>
      <c r="AG7" s="30"/>
      <c r="AH7" s="31">
        <v>634.5</v>
      </c>
      <c r="AI7" s="31">
        <v>2538</v>
      </c>
      <c r="AJ7" s="30"/>
      <c r="AK7" s="17" t="s">
        <v>29</v>
      </c>
      <c r="AL7" s="17" t="s">
        <v>38</v>
      </c>
      <c r="AM7" s="46" t="s">
        <v>142</v>
      </c>
    </row>
    <row r="8" spans="1:39" ht="43.2" x14ac:dyDescent="0.3">
      <c r="A8" s="17">
        <v>7</v>
      </c>
      <c r="B8" s="17">
        <v>0</v>
      </c>
      <c r="C8" s="17" t="s">
        <v>27</v>
      </c>
      <c r="D8" s="17" t="s">
        <v>145</v>
      </c>
      <c r="E8" s="17">
        <v>3</v>
      </c>
      <c r="F8" s="42" t="s">
        <v>51</v>
      </c>
      <c r="G8" s="17">
        <v>3</v>
      </c>
      <c r="H8" s="17">
        <v>4</v>
      </c>
      <c r="I8" s="17" t="s">
        <v>158</v>
      </c>
      <c r="J8" s="17" t="s">
        <v>29</v>
      </c>
      <c r="K8" s="17" t="s">
        <v>159</v>
      </c>
      <c r="L8" s="42" t="s">
        <v>66</v>
      </c>
      <c r="M8" s="42" t="s">
        <v>67</v>
      </c>
      <c r="N8" s="17" t="s">
        <v>60</v>
      </c>
      <c r="O8" s="17" t="s">
        <v>55</v>
      </c>
      <c r="P8" s="43" t="s">
        <v>68</v>
      </c>
      <c r="Q8" s="17"/>
      <c r="R8" s="17" t="s">
        <v>35</v>
      </c>
      <c r="S8" s="17">
        <v>4</v>
      </c>
      <c r="T8" s="17">
        <v>1</v>
      </c>
      <c r="U8" s="17">
        <v>4</v>
      </c>
      <c r="V8" s="17">
        <v>10</v>
      </c>
      <c r="W8" s="31">
        <v>425</v>
      </c>
      <c r="X8" s="31">
        <v>1700</v>
      </c>
      <c r="Y8" s="30"/>
      <c r="Z8" s="42" t="s">
        <v>62</v>
      </c>
      <c r="AA8" s="30"/>
      <c r="AB8" s="35">
        <v>1.35</v>
      </c>
      <c r="AC8" s="31">
        <v>573.75</v>
      </c>
      <c r="AD8" s="31">
        <v>2295</v>
      </c>
      <c r="AE8" s="30">
        <v>0</v>
      </c>
      <c r="AF8" s="30">
        <v>0</v>
      </c>
      <c r="AG8" s="30"/>
      <c r="AH8" s="31">
        <v>573.75</v>
      </c>
      <c r="AI8" s="31">
        <v>2295</v>
      </c>
      <c r="AJ8" s="30"/>
      <c r="AK8" s="17" t="s">
        <v>29</v>
      </c>
      <c r="AL8" s="17" t="s">
        <v>38</v>
      </c>
      <c r="AM8" s="46" t="s">
        <v>142</v>
      </c>
    </row>
    <row r="9" spans="1:39" ht="57.6" x14ac:dyDescent="0.3">
      <c r="A9" s="17">
        <v>8</v>
      </c>
      <c r="B9" s="17">
        <v>0</v>
      </c>
      <c r="C9" s="17" t="s">
        <v>27</v>
      </c>
      <c r="D9" s="17" t="s">
        <v>145</v>
      </c>
      <c r="E9" s="17">
        <v>3</v>
      </c>
      <c r="F9" s="42" t="s">
        <v>69</v>
      </c>
      <c r="G9" s="17">
        <v>3</v>
      </c>
      <c r="H9" s="17">
        <v>5</v>
      </c>
      <c r="I9" s="17" t="s">
        <v>160</v>
      </c>
      <c r="J9" s="17" t="s">
        <v>29</v>
      </c>
      <c r="K9" s="17" t="s">
        <v>161</v>
      </c>
      <c r="L9" s="42" t="s">
        <v>70</v>
      </c>
      <c r="M9" s="42" t="s">
        <v>71</v>
      </c>
      <c r="N9" s="17" t="s">
        <v>47</v>
      </c>
      <c r="O9" s="17" t="s">
        <v>48</v>
      </c>
      <c r="P9" s="43" t="s">
        <v>72</v>
      </c>
      <c r="Q9" s="17"/>
      <c r="R9" s="17" t="s">
        <v>35</v>
      </c>
      <c r="S9" s="17">
        <v>1</v>
      </c>
      <c r="T9" s="17">
        <v>1</v>
      </c>
      <c r="U9" s="17">
        <v>1</v>
      </c>
      <c r="V9" s="17">
        <v>10</v>
      </c>
      <c r="W9" s="31">
        <v>2596</v>
      </c>
      <c r="X9" s="31">
        <v>2596</v>
      </c>
      <c r="Y9" s="30"/>
      <c r="Z9" s="42" t="s">
        <v>73</v>
      </c>
      <c r="AA9" s="30"/>
      <c r="AB9" s="35">
        <v>2</v>
      </c>
      <c r="AC9" s="31">
        <v>5192</v>
      </c>
      <c r="AD9" s="31">
        <v>5192</v>
      </c>
      <c r="AE9" s="30">
        <v>0</v>
      </c>
      <c r="AF9" s="30">
        <v>0</v>
      </c>
      <c r="AG9" s="30"/>
      <c r="AH9" s="31">
        <v>5192</v>
      </c>
      <c r="AI9" s="31">
        <v>5192</v>
      </c>
      <c r="AJ9" s="30"/>
      <c r="AK9" s="17" t="s">
        <v>29</v>
      </c>
      <c r="AL9" s="17" t="s">
        <v>38</v>
      </c>
      <c r="AM9" s="46" t="s">
        <v>143</v>
      </c>
    </row>
    <row r="10" spans="1:39" ht="201.6" x14ac:dyDescent="0.3">
      <c r="A10" s="17">
        <v>9</v>
      </c>
      <c r="B10" s="17">
        <v>0</v>
      </c>
      <c r="C10" s="17" t="s">
        <v>27</v>
      </c>
      <c r="D10" s="17" t="s">
        <v>145</v>
      </c>
      <c r="E10" s="17">
        <v>3</v>
      </c>
      <c r="F10" s="42" t="s">
        <v>74</v>
      </c>
      <c r="G10" s="17">
        <v>5</v>
      </c>
      <c r="H10" s="17">
        <v>1</v>
      </c>
      <c r="I10" s="17" t="s">
        <v>162</v>
      </c>
      <c r="J10" s="17" t="s">
        <v>29</v>
      </c>
      <c r="K10" s="17" t="s">
        <v>163</v>
      </c>
      <c r="L10" s="42" t="s">
        <v>75</v>
      </c>
      <c r="M10" s="42" t="s">
        <v>76</v>
      </c>
      <c r="N10" s="17" t="s">
        <v>77</v>
      </c>
      <c r="O10" s="17" t="s">
        <v>78</v>
      </c>
      <c r="P10" s="43" t="s">
        <v>79</v>
      </c>
      <c r="Q10" s="17"/>
      <c r="R10" s="17" t="s">
        <v>35</v>
      </c>
      <c r="S10" s="17">
        <v>1</v>
      </c>
      <c r="T10" s="17">
        <v>1</v>
      </c>
      <c r="U10" s="17">
        <v>1</v>
      </c>
      <c r="V10" s="17">
        <v>5</v>
      </c>
      <c r="W10" s="31">
        <v>57903</v>
      </c>
      <c r="X10" s="31">
        <v>57903</v>
      </c>
      <c r="Y10" s="30"/>
      <c r="Z10" s="42" t="s">
        <v>80</v>
      </c>
      <c r="AA10" s="30"/>
      <c r="AB10" s="35">
        <v>2.7</v>
      </c>
      <c r="AC10" s="31">
        <v>156338.1</v>
      </c>
      <c r="AD10" s="31">
        <v>156338.1</v>
      </c>
      <c r="AE10" s="30">
        <v>0</v>
      </c>
      <c r="AF10" s="30">
        <v>0</v>
      </c>
      <c r="AG10" s="30"/>
      <c r="AH10" s="31">
        <v>156338.1</v>
      </c>
      <c r="AI10" s="31">
        <v>156338.1</v>
      </c>
      <c r="AJ10" s="30"/>
      <c r="AK10" s="17" t="s">
        <v>29</v>
      </c>
      <c r="AL10" s="17" t="s">
        <v>38</v>
      </c>
      <c r="AM10" s="46" t="s">
        <v>144</v>
      </c>
    </row>
    <row r="11" spans="1:39" ht="158.4" x14ac:dyDescent="0.3">
      <c r="A11" s="17">
        <v>10</v>
      </c>
      <c r="B11" s="17">
        <v>0</v>
      </c>
      <c r="C11" s="17" t="s">
        <v>27</v>
      </c>
      <c r="D11" s="17" t="s">
        <v>145</v>
      </c>
      <c r="E11" s="17">
        <v>3</v>
      </c>
      <c r="F11" s="42" t="s">
        <v>28</v>
      </c>
      <c r="G11" s="17">
        <v>2</v>
      </c>
      <c r="H11" s="17">
        <v>5</v>
      </c>
      <c r="I11" s="17" t="s">
        <v>164</v>
      </c>
      <c r="J11" s="17" t="s">
        <v>38</v>
      </c>
      <c r="K11" s="17" t="s">
        <v>165</v>
      </c>
      <c r="L11" s="42" t="s">
        <v>81</v>
      </c>
      <c r="M11" s="42" t="s">
        <v>82</v>
      </c>
      <c r="N11" s="17" t="s">
        <v>83</v>
      </c>
      <c r="O11" s="17" t="s">
        <v>48</v>
      </c>
      <c r="P11" s="43">
        <v>1830011</v>
      </c>
      <c r="Q11" s="17"/>
      <c r="R11" s="17" t="s">
        <v>35</v>
      </c>
      <c r="S11" s="17">
        <v>3</v>
      </c>
      <c r="T11" s="17">
        <v>1</v>
      </c>
      <c r="U11" s="17">
        <v>3</v>
      </c>
      <c r="V11" s="17">
        <v>100</v>
      </c>
      <c r="W11" s="31">
        <v>31450</v>
      </c>
      <c r="X11" s="31">
        <v>94350</v>
      </c>
      <c r="Y11" s="30"/>
      <c r="Z11" s="42" t="s">
        <v>84</v>
      </c>
      <c r="AA11" s="30"/>
      <c r="AB11" s="35">
        <v>3</v>
      </c>
      <c r="AC11" s="31">
        <v>94350</v>
      </c>
      <c r="AD11" s="31">
        <v>283050</v>
      </c>
      <c r="AE11" s="30">
        <v>0</v>
      </c>
      <c r="AF11" s="30">
        <v>0</v>
      </c>
      <c r="AG11" s="30"/>
      <c r="AH11" s="31">
        <v>94350</v>
      </c>
      <c r="AI11" s="31">
        <v>283050</v>
      </c>
      <c r="AJ11" s="30"/>
      <c r="AK11" s="17" t="s">
        <v>29</v>
      </c>
      <c r="AL11" s="17" t="s">
        <v>38</v>
      </c>
      <c r="AM11" s="46"/>
    </row>
    <row r="12" spans="1:39" ht="72" x14ac:dyDescent="0.3">
      <c r="A12" s="17">
        <v>11</v>
      </c>
      <c r="B12" s="17">
        <v>0</v>
      </c>
      <c r="C12" s="17" t="s">
        <v>27</v>
      </c>
      <c r="D12" s="17" t="s">
        <v>145</v>
      </c>
      <c r="E12" s="17">
        <v>3</v>
      </c>
      <c r="F12" s="42" t="s">
        <v>69</v>
      </c>
      <c r="G12" s="17">
        <v>3</v>
      </c>
      <c r="H12" s="17">
        <v>6</v>
      </c>
      <c r="I12" s="17" t="s">
        <v>166</v>
      </c>
      <c r="J12" s="17" t="s">
        <v>29</v>
      </c>
      <c r="K12" s="17" t="s">
        <v>167</v>
      </c>
      <c r="L12" s="42" t="s">
        <v>85</v>
      </c>
      <c r="M12" s="42" t="s">
        <v>86</v>
      </c>
      <c r="N12" s="17" t="s">
        <v>87</v>
      </c>
      <c r="O12" s="17" t="s">
        <v>55</v>
      </c>
      <c r="P12" s="43">
        <v>1821981</v>
      </c>
      <c r="Q12" s="17"/>
      <c r="R12" s="17" t="s">
        <v>35</v>
      </c>
      <c r="S12" s="17">
        <v>20</v>
      </c>
      <c r="T12" s="17">
        <v>1</v>
      </c>
      <c r="U12" s="17">
        <v>20</v>
      </c>
      <c r="V12" s="17">
        <v>100</v>
      </c>
      <c r="W12" s="31">
        <v>809</v>
      </c>
      <c r="X12" s="31">
        <v>16180</v>
      </c>
      <c r="Y12" s="30"/>
      <c r="Z12" s="42" t="s">
        <v>88</v>
      </c>
      <c r="AA12" s="30"/>
      <c r="AB12" s="35">
        <v>1.35</v>
      </c>
      <c r="AC12" s="31">
        <v>1092.1500000000001</v>
      </c>
      <c r="AD12" s="31">
        <v>21843</v>
      </c>
      <c r="AE12" s="30">
        <v>0</v>
      </c>
      <c r="AF12" s="30">
        <v>0</v>
      </c>
      <c r="AG12" s="30"/>
      <c r="AH12" s="31">
        <v>1092.1500000000001</v>
      </c>
      <c r="AI12" s="31">
        <v>21843</v>
      </c>
      <c r="AJ12" s="30"/>
      <c r="AK12" s="17" t="s">
        <v>29</v>
      </c>
      <c r="AL12" s="17" t="s">
        <v>29</v>
      </c>
      <c r="AM12" s="46" t="s">
        <v>141</v>
      </c>
    </row>
    <row r="13" spans="1:39" ht="244.8" x14ac:dyDescent="0.3">
      <c r="A13" s="17">
        <v>12</v>
      </c>
      <c r="B13" s="17">
        <v>0</v>
      </c>
      <c r="C13" s="17" t="s">
        <v>89</v>
      </c>
      <c r="D13" s="17" t="s">
        <v>168</v>
      </c>
      <c r="E13" s="17">
        <v>1</v>
      </c>
      <c r="F13" s="42" t="s">
        <v>28</v>
      </c>
      <c r="G13" s="17">
        <v>2</v>
      </c>
      <c r="H13" s="17">
        <v>1</v>
      </c>
      <c r="I13" s="17" t="s">
        <v>169</v>
      </c>
      <c r="J13" s="17" t="s">
        <v>29</v>
      </c>
      <c r="K13" s="17" t="s">
        <v>170</v>
      </c>
      <c r="L13" s="42" t="s">
        <v>30</v>
      </c>
      <c r="M13" s="42" t="s">
        <v>90</v>
      </c>
      <c r="N13" s="17" t="s">
        <v>32</v>
      </c>
      <c r="O13" s="17" t="s">
        <v>33</v>
      </c>
      <c r="P13" s="43" t="s">
        <v>34</v>
      </c>
      <c r="Q13" s="17"/>
      <c r="R13" s="17" t="s">
        <v>35</v>
      </c>
      <c r="S13" s="17">
        <v>3</v>
      </c>
      <c r="T13" s="17">
        <v>1</v>
      </c>
      <c r="U13" s="17">
        <v>3</v>
      </c>
      <c r="V13" s="17">
        <v>12</v>
      </c>
      <c r="W13" s="31">
        <v>20000</v>
      </c>
      <c r="X13" s="31">
        <v>60000</v>
      </c>
      <c r="Y13" s="30"/>
      <c r="Z13" s="42" t="s">
        <v>91</v>
      </c>
      <c r="AA13" s="30"/>
      <c r="AB13" s="35">
        <v>4</v>
      </c>
      <c r="AC13" s="31">
        <v>80000</v>
      </c>
      <c r="AD13" s="31">
        <v>240000</v>
      </c>
      <c r="AE13" s="30">
        <v>0</v>
      </c>
      <c r="AF13" s="30">
        <v>0</v>
      </c>
      <c r="AG13" s="30"/>
      <c r="AH13" s="31">
        <v>80000</v>
      </c>
      <c r="AI13" s="31">
        <v>240000</v>
      </c>
      <c r="AJ13" s="30"/>
      <c r="AK13" s="17" t="s">
        <v>29</v>
      </c>
      <c r="AL13" s="17" t="s">
        <v>38</v>
      </c>
      <c r="AM13" s="46"/>
    </row>
    <row r="14" spans="1:39" ht="302.39999999999998" x14ac:dyDescent="0.3">
      <c r="A14" s="17">
        <v>13</v>
      </c>
      <c r="B14" s="17">
        <v>0</v>
      </c>
      <c r="C14" s="17" t="s">
        <v>89</v>
      </c>
      <c r="D14" s="17" t="s">
        <v>168</v>
      </c>
      <c r="E14" s="17">
        <v>1</v>
      </c>
      <c r="F14" s="42" t="s">
        <v>28</v>
      </c>
      <c r="G14" s="17">
        <v>2</v>
      </c>
      <c r="H14" s="17">
        <v>2</v>
      </c>
      <c r="I14" s="17" t="s">
        <v>171</v>
      </c>
      <c r="J14" s="17" t="s">
        <v>29</v>
      </c>
      <c r="K14" s="17" t="s">
        <v>172</v>
      </c>
      <c r="L14" s="42" t="s">
        <v>92</v>
      </c>
      <c r="M14" s="42" t="s">
        <v>93</v>
      </c>
      <c r="N14" s="17" t="s">
        <v>395</v>
      </c>
      <c r="O14" s="17" t="s">
        <v>48</v>
      </c>
      <c r="P14" s="43" t="s">
        <v>94</v>
      </c>
      <c r="Q14" s="17"/>
      <c r="R14" s="17" t="s">
        <v>35</v>
      </c>
      <c r="S14" s="17">
        <v>1</v>
      </c>
      <c r="T14" s="17">
        <v>1</v>
      </c>
      <c r="U14" s="17">
        <v>1</v>
      </c>
      <c r="V14" s="17">
        <v>10</v>
      </c>
      <c r="W14" s="31">
        <v>351700</v>
      </c>
      <c r="X14" s="31">
        <v>351700</v>
      </c>
      <c r="Y14" s="30"/>
      <c r="Z14" s="42" t="s">
        <v>95</v>
      </c>
      <c r="AA14" s="30"/>
      <c r="AB14" s="35">
        <v>5</v>
      </c>
      <c r="AC14" s="31">
        <v>1758500</v>
      </c>
      <c r="AD14" s="31">
        <v>1758500</v>
      </c>
      <c r="AE14" s="30">
        <v>0</v>
      </c>
      <c r="AF14" s="30">
        <v>0</v>
      </c>
      <c r="AG14" s="30"/>
      <c r="AH14" s="31">
        <v>1758500</v>
      </c>
      <c r="AI14" s="31">
        <v>1758500</v>
      </c>
      <c r="AJ14" s="30"/>
      <c r="AK14" s="17" t="s">
        <v>29</v>
      </c>
      <c r="AL14" s="17" t="s">
        <v>38</v>
      </c>
      <c r="AM14" s="46"/>
    </row>
    <row r="15" spans="1:39" ht="158.4" x14ac:dyDescent="0.3">
      <c r="A15" s="17">
        <v>14</v>
      </c>
      <c r="B15" s="17">
        <v>0</v>
      </c>
      <c r="C15" s="17" t="s">
        <v>89</v>
      </c>
      <c r="D15" s="17" t="s">
        <v>168</v>
      </c>
      <c r="E15" s="17">
        <v>1</v>
      </c>
      <c r="F15" s="42" t="s">
        <v>28</v>
      </c>
      <c r="G15" s="17">
        <v>2</v>
      </c>
      <c r="H15" s="17">
        <v>3</v>
      </c>
      <c r="I15" s="17" t="s">
        <v>173</v>
      </c>
      <c r="J15" s="17" t="s">
        <v>29</v>
      </c>
      <c r="K15" s="17" t="s">
        <v>174</v>
      </c>
      <c r="L15" s="42" t="s">
        <v>96</v>
      </c>
      <c r="M15" s="42" t="s">
        <v>97</v>
      </c>
      <c r="N15" s="17" t="s">
        <v>396</v>
      </c>
      <c r="O15" s="17" t="s">
        <v>48</v>
      </c>
      <c r="P15" s="43" t="s">
        <v>98</v>
      </c>
      <c r="Q15" s="17"/>
      <c r="R15" s="17" t="s">
        <v>35</v>
      </c>
      <c r="S15" s="17">
        <v>3</v>
      </c>
      <c r="T15" s="17">
        <v>1</v>
      </c>
      <c r="U15" s="17">
        <v>3</v>
      </c>
      <c r="V15" s="17">
        <v>4</v>
      </c>
      <c r="W15" s="31">
        <v>58300</v>
      </c>
      <c r="X15" s="31">
        <v>174900</v>
      </c>
      <c r="Y15" s="30"/>
      <c r="Z15" s="42" t="s">
        <v>99</v>
      </c>
      <c r="AA15" s="30"/>
      <c r="AB15" s="35">
        <v>3</v>
      </c>
      <c r="AC15" s="31">
        <v>174900</v>
      </c>
      <c r="AD15" s="31">
        <v>524700</v>
      </c>
      <c r="AE15" s="30">
        <v>0</v>
      </c>
      <c r="AF15" s="30">
        <v>0</v>
      </c>
      <c r="AG15" s="30"/>
      <c r="AH15" s="31">
        <v>174900</v>
      </c>
      <c r="AI15" s="31">
        <v>524700</v>
      </c>
      <c r="AJ15" s="30"/>
      <c r="AK15" s="17" t="s">
        <v>29</v>
      </c>
      <c r="AL15" s="17" t="s">
        <v>38</v>
      </c>
      <c r="AM15" s="46"/>
    </row>
    <row r="16" spans="1:39" ht="86.4" x14ac:dyDescent="0.3">
      <c r="A16" s="17">
        <v>15</v>
      </c>
      <c r="B16" s="17">
        <v>0</v>
      </c>
      <c r="C16" s="17" t="s">
        <v>89</v>
      </c>
      <c r="D16" s="17" t="s">
        <v>168</v>
      </c>
      <c r="E16" s="17">
        <v>1</v>
      </c>
      <c r="F16" s="42" t="s">
        <v>37</v>
      </c>
      <c r="G16" s="17">
        <v>4</v>
      </c>
      <c r="H16" s="17">
        <v>1</v>
      </c>
      <c r="I16" s="17" t="s">
        <v>175</v>
      </c>
      <c r="J16" s="17" t="s">
        <v>29</v>
      </c>
      <c r="K16" s="17" t="s">
        <v>176</v>
      </c>
      <c r="L16" s="42" t="s">
        <v>100</v>
      </c>
      <c r="M16" s="42" t="s">
        <v>101</v>
      </c>
      <c r="N16" s="17" t="s">
        <v>47</v>
      </c>
      <c r="O16" s="17" t="s">
        <v>48</v>
      </c>
      <c r="P16" s="43" t="s">
        <v>102</v>
      </c>
      <c r="Q16" s="17"/>
      <c r="R16" s="17" t="s">
        <v>35</v>
      </c>
      <c r="S16" s="17">
        <v>6</v>
      </c>
      <c r="T16" s="17">
        <v>1</v>
      </c>
      <c r="U16" s="17">
        <v>6</v>
      </c>
      <c r="V16" s="17">
        <v>0</v>
      </c>
      <c r="W16" s="31">
        <v>15900</v>
      </c>
      <c r="X16" s="31">
        <v>95400</v>
      </c>
      <c r="Y16" s="30"/>
      <c r="Z16" s="42" t="s">
        <v>103</v>
      </c>
      <c r="AA16" s="30"/>
      <c r="AB16" s="35">
        <v>3</v>
      </c>
      <c r="AC16" s="31">
        <v>47700</v>
      </c>
      <c r="AD16" s="31">
        <v>286200</v>
      </c>
      <c r="AE16" s="30">
        <v>0</v>
      </c>
      <c r="AF16" s="30">
        <v>0</v>
      </c>
      <c r="AG16" s="30"/>
      <c r="AH16" s="31">
        <v>47700</v>
      </c>
      <c r="AI16" s="31">
        <v>286200</v>
      </c>
      <c r="AJ16" s="30"/>
      <c r="AK16" s="17" t="s">
        <v>29</v>
      </c>
      <c r="AL16" s="17" t="s">
        <v>38</v>
      </c>
      <c r="AM16" s="46"/>
    </row>
    <row r="17" spans="1:39" ht="187.2" x14ac:dyDescent="0.3">
      <c r="A17" s="17">
        <v>16</v>
      </c>
      <c r="B17" s="17">
        <v>0</v>
      </c>
      <c r="C17" s="17" t="s">
        <v>89</v>
      </c>
      <c r="D17" s="17" t="s">
        <v>168</v>
      </c>
      <c r="E17" s="17">
        <v>1</v>
      </c>
      <c r="F17" s="42" t="s">
        <v>37</v>
      </c>
      <c r="G17" s="17">
        <v>4</v>
      </c>
      <c r="H17" s="17">
        <v>2</v>
      </c>
      <c r="I17" s="17" t="s">
        <v>177</v>
      </c>
      <c r="J17" s="17" t="s">
        <v>29</v>
      </c>
      <c r="K17" s="17" t="s">
        <v>178</v>
      </c>
      <c r="L17" s="42" t="s">
        <v>104</v>
      </c>
      <c r="M17" s="42" t="s">
        <v>105</v>
      </c>
      <c r="N17" s="17" t="s">
        <v>47</v>
      </c>
      <c r="O17" s="17" t="s">
        <v>48</v>
      </c>
      <c r="P17" s="43" t="s">
        <v>106</v>
      </c>
      <c r="Q17" s="17"/>
      <c r="R17" s="17" t="s">
        <v>35</v>
      </c>
      <c r="S17" s="17">
        <v>4</v>
      </c>
      <c r="T17" s="17">
        <v>1</v>
      </c>
      <c r="U17" s="17">
        <v>4</v>
      </c>
      <c r="V17" s="17">
        <v>1000</v>
      </c>
      <c r="W17" s="31">
        <v>1400</v>
      </c>
      <c r="X17" s="31">
        <v>5600</v>
      </c>
      <c r="Y17" s="30"/>
      <c r="Z17" s="42" t="s">
        <v>107</v>
      </c>
      <c r="AA17" s="30"/>
      <c r="AB17" s="35">
        <v>2.7</v>
      </c>
      <c r="AC17" s="31">
        <v>3780.0000000000005</v>
      </c>
      <c r="AD17" s="31">
        <v>15120.000000000002</v>
      </c>
      <c r="AE17" s="30">
        <v>0</v>
      </c>
      <c r="AF17" s="30">
        <v>0</v>
      </c>
      <c r="AG17" s="30"/>
      <c r="AH17" s="31">
        <v>3780.0000000000005</v>
      </c>
      <c r="AI17" s="31">
        <v>15120.000000000002</v>
      </c>
      <c r="AJ17" s="30"/>
      <c r="AK17" s="17" t="s">
        <v>29</v>
      </c>
      <c r="AL17" s="17" t="s">
        <v>38</v>
      </c>
      <c r="AM17" s="46"/>
    </row>
    <row r="18" spans="1:39" ht="86.4" x14ac:dyDescent="0.3">
      <c r="A18" s="17">
        <v>17</v>
      </c>
      <c r="B18" s="17">
        <v>0</v>
      </c>
      <c r="C18" s="17" t="s">
        <v>89</v>
      </c>
      <c r="D18" s="17" t="s">
        <v>168</v>
      </c>
      <c r="E18" s="17">
        <v>1</v>
      </c>
      <c r="F18" s="42" t="s">
        <v>37</v>
      </c>
      <c r="G18" s="17">
        <v>4</v>
      </c>
      <c r="H18" s="17">
        <v>3</v>
      </c>
      <c r="I18" s="17" t="s">
        <v>179</v>
      </c>
      <c r="J18" s="17" t="s">
        <v>29</v>
      </c>
      <c r="K18" s="17" t="s">
        <v>180</v>
      </c>
      <c r="L18" s="42" t="s">
        <v>45</v>
      </c>
      <c r="M18" s="42" t="s">
        <v>108</v>
      </c>
      <c r="N18" s="17" t="s">
        <v>47</v>
      </c>
      <c r="O18" s="17" t="s">
        <v>48</v>
      </c>
      <c r="P18" s="43" t="s">
        <v>49</v>
      </c>
      <c r="Q18" s="17"/>
      <c r="R18" s="17" t="s">
        <v>35</v>
      </c>
      <c r="S18" s="17">
        <v>6</v>
      </c>
      <c r="T18" s="17">
        <v>1</v>
      </c>
      <c r="U18" s="17">
        <v>6</v>
      </c>
      <c r="V18" s="17">
        <v>1000</v>
      </c>
      <c r="W18" s="31">
        <v>2900</v>
      </c>
      <c r="X18" s="31">
        <v>17400</v>
      </c>
      <c r="Y18" s="30"/>
      <c r="Z18" s="42" t="s">
        <v>109</v>
      </c>
      <c r="AA18" s="30"/>
      <c r="AB18" s="35">
        <v>2.7</v>
      </c>
      <c r="AC18" s="31">
        <v>7830.0000000000009</v>
      </c>
      <c r="AD18" s="31">
        <v>46980.000000000007</v>
      </c>
      <c r="AE18" s="30">
        <v>0</v>
      </c>
      <c r="AF18" s="30">
        <v>0</v>
      </c>
      <c r="AG18" s="30"/>
      <c r="AH18" s="31">
        <v>7830.0000000000009</v>
      </c>
      <c r="AI18" s="31">
        <v>46980.000000000007</v>
      </c>
      <c r="AJ18" s="30"/>
      <c r="AK18" s="17" t="s">
        <v>29</v>
      </c>
      <c r="AL18" s="17" t="s">
        <v>38</v>
      </c>
      <c r="AM18" s="46"/>
    </row>
    <row r="19" spans="1:39" ht="201.6" x14ac:dyDescent="0.3">
      <c r="A19" s="17">
        <v>18</v>
      </c>
      <c r="B19" s="17">
        <v>0</v>
      </c>
      <c r="C19" s="17" t="s">
        <v>89</v>
      </c>
      <c r="D19" s="17" t="s">
        <v>168</v>
      </c>
      <c r="E19" s="17">
        <v>1</v>
      </c>
      <c r="F19" s="42" t="s">
        <v>37</v>
      </c>
      <c r="G19" s="17">
        <v>4</v>
      </c>
      <c r="H19" s="17">
        <v>4</v>
      </c>
      <c r="I19" s="17" t="s">
        <v>181</v>
      </c>
      <c r="J19" s="17" t="s">
        <v>29</v>
      </c>
      <c r="K19" s="17" t="s">
        <v>182</v>
      </c>
      <c r="L19" s="42" t="s">
        <v>110</v>
      </c>
      <c r="M19" s="42" t="s">
        <v>111</v>
      </c>
      <c r="N19" s="17" t="s">
        <v>47</v>
      </c>
      <c r="O19" s="17" t="s">
        <v>48</v>
      </c>
      <c r="P19" s="43" t="s">
        <v>112</v>
      </c>
      <c r="Q19" s="17"/>
      <c r="R19" s="17" t="s">
        <v>35</v>
      </c>
      <c r="S19" s="17">
        <v>24</v>
      </c>
      <c r="T19" s="17">
        <v>1</v>
      </c>
      <c r="U19" s="17">
        <v>24</v>
      </c>
      <c r="V19" s="17">
        <v>1000</v>
      </c>
      <c r="W19" s="31">
        <v>2000</v>
      </c>
      <c r="X19" s="31">
        <v>48000</v>
      </c>
      <c r="Y19" s="30"/>
      <c r="Z19" s="42" t="s">
        <v>113</v>
      </c>
      <c r="AA19" s="30"/>
      <c r="AB19" s="35">
        <v>3.2</v>
      </c>
      <c r="AC19" s="31">
        <v>6400</v>
      </c>
      <c r="AD19" s="31">
        <v>153600</v>
      </c>
      <c r="AE19" s="30">
        <v>0</v>
      </c>
      <c r="AF19" s="30">
        <v>0</v>
      </c>
      <c r="AG19" s="30"/>
      <c r="AH19" s="31">
        <v>6400</v>
      </c>
      <c r="AI19" s="31">
        <v>153600</v>
      </c>
      <c r="AJ19" s="30"/>
      <c r="AK19" s="17" t="s">
        <v>29</v>
      </c>
      <c r="AL19" s="17" t="s">
        <v>38</v>
      </c>
      <c r="AM19" s="46"/>
    </row>
    <row r="20" spans="1:39" ht="57.6" x14ac:dyDescent="0.3">
      <c r="A20" s="17">
        <v>19</v>
      </c>
      <c r="B20" s="17">
        <v>0</v>
      </c>
      <c r="C20" s="17" t="s">
        <v>114</v>
      </c>
      <c r="D20" s="17" t="s">
        <v>183</v>
      </c>
      <c r="E20" s="17">
        <v>1</v>
      </c>
      <c r="F20" s="42" t="s">
        <v>115</v>
      </c>
      <c r="G20" s="17">
        <v>1</v>
      </c>
      <c r="H20" s="17">
        <v>1</v>
      </c>
      <c r="I20" s="17" t="s">
        <v>184</v>
      </c>
      <c r="J20" s="17" t="s">
        <v>29</v>
      </c>
      <c r="K20" s="17" t="s">
        <v>185</v>
      </c>
      <c r="L20" s="42" t="s">
        <v>116</v>
      </c>
      <c r="M20" s="42" t="s">
        <v>117</v>
      </c>
      <c r="N20" s="17" t="s">
        <v>118</v>
      </c>
      <c r="O20" s="17" t="s">
        <v>119</v>
      </c>
      <c r="P20" s="43" t="s">
        <v>87</v>
      </c>
      <c r="Q20" s="17"/>
      <c r="R20" s="17" t="s">
        <v>35</v>
      </c>
      <c r="S20" s="17">
        <v>2</v>
      </c>
      <c r="T20" s="17">
        <v>1</v>
      </c>
      <c r="U20" s="17">
        <v>2</v>
      </c>
      <c r="V20" s="17">
        <v>2</v>
      </c>
      <c r="W20" s="31">
        <v>865810.8</v>
      </c>
      <c r="X20" s="31">
        <v>1731621.6</v>
      </c>
      <c r="Y20" s="30"/>
      <c r="Z20" s="42" t="s">
        <v>120</v>
      </c>
      <c r="AA20" s="30"/>
      <c r="AB20" s="35">
        <v>1.9634774710595</v>
      </c>
      <c r="AC20" s="31">
        <v>1700000.0000000026</v>
      </c>
      <c r="AD20" s="31">
        <v>3400000.0000000051</v>
      </c>
      <c r="AE20" s="30">
        <v>0</v>
      </c>
      <c r="AF20" s="30">
        <v>0</v>
      </c>
      <c r="AG20" s="30"/>
      <c r="AH20" s="31">
        <v>1700000.0000000026</v>
      </c>
      <c r="AI20" s="31">
        <v>3400000.0000000051</v>
      </c>
      <c r="AJ20" s="30"/>
      <c r="AK20" s="17" t="s">
        <v>29</v>
      </c>
      <c r="AL20" s="17" t="s">
        <v>38</v>
      </c>
      <c r="AM20" s="46"/>
    </row>
    <row r="21" spans="1:39" ht="72" x14ac:dyDescent="0.3">
      <c r="A21" s="17">
        <v>20</v>
      </c>
      <c r="B21" s="17">
        <v>0</v>
      </c>
      <c r="C21" s="17" t="s">
        <v>114</v>
      </c>
      <c r="D21" s="17" t="s">
        <v>183</v>
      </c>
      <c r="E21" s="17">
        <v>1</v>
      </c>
      <c r="F21" s="42" t="s">
        <v>115</v>
      </c>
      <c r="G21" s="17">
        <v>1</v>
      </c>
      <c r="H21" s="17">
        <v>2</v>
      </c>
      <c r="I21" s="17" t="s">
        <v>186</v>
      </c>
      <c r="J21" s="17" t="s">
        <v>29</v>
      </c>
      <c r="K21" s="17" t="s">
        <v>187</v>
      </c>
      <c r="L21" s="42" t="s">
        <v>121</v>
      </c>
      <c r="M21" s="42" t="s">
        <v>122</v>
      </c>
      <c r="N21" s="17" t="s">
        <v>118</v>
      </c>
      <c r="O21" s="17" t="s">
        <v>119</v>
      </c>
      <c r="P21" s="43" t="s">
        <v>87</v>
      </c>
      <c r="Q21" s="17"/>
      <c r="R21" s="17" t="s">
        <v>35</v>
      </c>
      <c r="S21" s="17">
        <v>1</v>
      </c>
      <c r="T21" s="17">
        <v>1</v>
      </c>
      <c r="U21" s="17">
        <v>1</v>
      </c>
      <c r="V21" s="17">
        <v>1</v>
      </c>
      <c r="W21" s="31">
        <v>2088806.3999999999</v>
      </c>
      <c r="X21" s="31">
        <v>2088806.3999999999</v>
      </c>
      <c r="Y21" s="30"/>
      <c r="Z21" s="42" t="s">
        <v>123</v>
      </c>
      <c r="AA21" s="30"/>
      <c r="AB21" s="35">
        <v>1.9331614456945401</v>
      </c>
      <c r="AC21" s="31">
        <v>4038000.0000000075</v>
      </c>
      <c r="AD21" s="31">
        <v>4038000.0000000075</v>
      </c>
      <c r="AE21" s="30">
        <v>0</v>
      </c>
      <c r="AF21" s="30">
        <v>0</v>
      </c>
      <c r="AG21" s="30"/>
      <c r="AH21" s="31">
        <v>4038000.0000000075</v>
      </c>
      <c r="AI21" s="31">
        <v>4038000.0000000075</v>
      </c>
      <c r="AJ21" s="30"/>
      <c r="AK21" s="17" t="s">
        <v>29</v>
      </c>
      <c r="AL21" s="17" t="s">
        <v>38</v>
      </c>
      <c r="AM21" s="46"/>
    </row>
    <row r="22" spans="1:39" ht="72" x14ac:dyDescent="0.3">
      <c r="A22" s="17">
        <v>21</v>
      </c>
      <c r="B22" s="17">
        <v>0</v>
      </c>
      <c r="C22" s="17" t="s">
        <v>124</v>
      </c>
      <c r="D22" s="17" t="s">
        <v>190</v>
      </c>
      <c r="E22" s="17">
        <v>1</v>
      </c>
      <c r="F22" s="42" t="s">
        <v>69</v>
      </c>
      <c r="G22" s="17">
        <v>6</v>
      </c>
      <c r="H22" s="17">
        <v>1</v>
      </c>
      <c r="I22" s="17" t="s">
        <v>188</v>
      </c>
      <c r="J22" s="17" t="s">
        <v>29</v>
      </c>
      <c r="K22" s="17" t="s">
        <v>189</v>
      </c>
      <c r="L22" s="42" t="s">
        <v>85</v>
      </c>
      <c r="M22" s="42" t="s">
        <v>86</v>
      </c>
      <c r="N22" s="17" t="s">
        <v>87</v>
      </c>
      <c r="O22" s="17" t="s">
        <v>55</v>
      </c>
      <c r="P22" s="43">
        <v>1821981</v>
      </c>
      <c r="Q22" s="17"/>
      <c r="R22" s="17" t="s">
        <v>35</v>
      </c>
      <c r="S22" s="17">
        <v>12</v>
      </c>
      <c r="T22" s="17">
        <v>1</v>
      </c>
      <c r="U22" s="17">
        <v>12</v>
      </c>
      <c r="V22" s="17">
        <v>100</v>
      </c>
      <c r="W22" s="31">
        <v>809</v>
      </c>
      <c r="X22" s="31">
        <v>9708</v>
      </c>
      <c r="Y22" s="30"/>
      <c r="Z22" s="42" t="s">
        <v>125</v>
      </c>
      <c r="AA22" s="30"/>
      <c r="AB22" s="35">
        <v>1.35</v>
      </c>
      <c r="AC22" s="31">
        <v>1092.1500000000001</v>
      </c>
      <c r="AD22" s="31">
        <v>13105.800000000001</v>
      </c>
      <c r="AE22" s="30">
        <v>0</v>
      </c>
      <c r="AF22" s="30">
        <v>0</v>
      </c>
      <c r="AG22" s="30"/>
      <c r="AH22" s="31">
        <v>1092.1500000000001</v>
      </c>
      <c r="AI22" s="31">
        <v>13105.800000000001</v>
      </c>
      <c r="AJ22" s="30"/>
      <c r="AK22" s="17" t="s">
        <v>29</v>
      </c>
      <c r="AL22" s="17" t="s">
        <v>38</v>
      </c>
      <c r="AM22" s="46" t="s">
        <v>141</v>
      </c>
    </row>
    <row r="23" spans="1:39" ht="158.4" x14ac:dyDescent="0.3">
      <c r="A23" s="17">
        <v>23</v>
      </c>
      <c r="B23" s="17"/>
      <c r="C23" s="17" t="s">
        <v>124</v>
      </c>
      <c r="D23" s="17" t="s">
        <v>190</v>
      </c>
      <c r="E23" s="17">
        <v>1</v>
      </c>
      <c r="F23" s="42" t="s">
        <v>69</v>
      </c>
      <c r="G23" s="17">
        <v>6</v>
      </c>
      <c r="H23" s="17">
        <v>3</v>
      </c>
      <c r="I23" s="17" t="s">
        <v>473</v>
      </c>
      <c r="J23" s="17" t="s">
        <v>29</v>
      </c>
      <c r="K23" s="17" t="s">
        <v>476</v>
      </c>
      <c r="L23" s="42" t="s">
        <v>81</v>
      </c>
      <c r="M23" s="42" t="s">
        <v>82</v>
      </c>
      <c r="N23" s="17" t="s">
        <v>83</v>
      </c>
      <c r="O23" s="17" t="s">
        <v>55</v>
      </c>
      <c r="P23" s="43">
        <v>1830011</v>
      </c>
      <c r="Q23" s="17"/>
      <c r="R23" s="17" t="s">
        <v>35</v>
      </c>
      <c r="S23" s="17">
        <v>2</v>
      </c>
      <c r="T23" s="17">
        <v>1</v>
      </c>
      <c r="U23" s="17">
        <v>2</v>
      </c>
      <c r="V23" s="17">
        <v>10</v>
      </c>
      <c r="W23" s="31">
        <v>54260</v>
      </c>
      <c r="X23" s="31">
        <v>108520</v>
      </c>
      <c r="Y23" s="30"/>
      <c r="Z23" s="42" t="s">
        <v>477</v>
      </c>
      <c r="AA23" s="30"/>
      <c r="AB23" s="35">
        <v>2</v>
      </c>
      <c r="AC23" s="31">
        <v>108520</v>
      </c>
      <c r="AD23" s="31">
        <v>217040</v>
      </c>
      <c r="AE23" s="30">
        <v>0</v>
      </c>
      <c r="AF23" s="30">
        <v>0</v>
      </c>
      <c r="AG23" s="30"/>
      <c r="AH23" s="31">
        <v>108520</v>
      </c>
      <c r="AI23" s="31">
        <v>217040</v>
      </c>
      <c r="AJ23" s="30"/>
      <c r="AK23" s="17" t="s">
        <v>38</v>
      </c>
      <c r="AL23" s="17" t="s">
        <v>38</v>
      </c>
      <c r="AM23" s="46" t="s">
        <v>143</v>
      </c>
    </row>
    <row r="24" spans="1:39" x14ac:dyDescent="0.3">
      <c r="A24" s="51"/>
      <c r="B24" s="51"/>
      <c r="C24" s="51"/>
      <c r="D24" s="51"/>
      <c r="E24" s="51"/>
      <c r="F24" s="52"/>
      <c r="G24" s="51"/>
      <c r="H24" s="51"/>
      <c r="I24" s="51"/>
      <c r="J24" s="51"/>
      <c r="K24" s="51"/>
      <c r="L24" s="52"/>
      <c r="M24" s="52"/>
      <c r="N24" s="51"/>
      <c r="O24" s="51"/>
      <c r="P24" s="53"/>
      <c r="Q24" s="51"/>
      <c r="R24" s="51"/>
      <c r="S24" s="51"/>
      <c r="T24" s="51"/>
      <c r="U24" s="51"/>
      <c r="V24" s="51"/>
      <c r="W24" s="50"/>
      <c r="X24" s="50"/>
      <c r="Y24" s="50"/>
      <c r="Z24" s="52"/>
      <c r="AA24" s="50"/>
      <c r="AB24" s="49"/>
      <c r="AC24" s="50"/>
      <c r="AD24" s="50"/>
      <c r="AE24" s="50"/>
      <c r="AF24" s="50"/>
      <c r="AG24" s="50"/>
      <c r="AH24" s="50"/>
      <c r="AI24" s="54">
        <f>SUBTOTAL(109,TabSpecificationWork[COST $TOTAL])</f>
        <v>11291964.000000013</v>
      </c>
      <c r="AJ24" s="50"/>
      <c r="AK24" s="51"/>
      <c r="AL24" s="51"/>
      <c r="AM24" s="55">
        <f>SUBTOTAL(103,TabSpecificationWork[COMMENT CUSTOMER])</f>
        <v>11</v>
      </c>
    </row>
    <row r="29" spans="1:39" x14ac:dyDescent="0.3">
      <c r="AJ29" s="64"/>
    </row>
    <row r="30" spans="1:39" x14ac:dyDescent="0.3">
      <c r="AJ30" s="64"/>
    </row>
    <row r="31" spans="1:39" x14ac:dyDescent="0.3">
      <c r="AJ31" s="64"/>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9E25D-D713-49D5-8F1A-D26EFDD05A32}">
  <dimension ref="A1:AC31"/>
  <sheetViews>
    <sheetView zoomScale="115" zoomScaleNormal="115" workbookViewId="0">
      <selection activeCell="B2" sqref="B2"/>
    </sheetView>
  </sheetViews>
  <sheetFormatPr defaultRowHeight="14.4" x14ac:dyDescent="0.3"/>
  <cols>
    <col min="1" max="1" width="39.6640625" style="25" customWidth="1"/>
    <col min="2" max="2" width="28.6640625" customWidth="1"/>
    <col min="3" max="3" width="18.109375" customWidth="1"/>
    <col min="4" max="4" width="15.33203125" style="22" customWidth="1"/>
    <col min="5" max="6" width="11.33203125" bestFit="1" customWidth="1"/>
    <col min="7" max="7" width="33.109375" bestFit="1" customWidth="1"/>
    <col min="8" max="8" width="8.33203125" bestFit="1" customWidth="1"/>
    <col min="9" max="9" width="21.6640625" bestFit="1" customWidth="1"/>
    <col min="10" max="10" width="33.88671875" bestFit="1" customWidth="1"/>
    <col min="11" max="11" width="43.109375" bestFit="1" customWidth="1"/>
    <col min="12" max="12" width="42.6640625" bestFit="1" customWidth="1"/>
    <col min="13" max="13" width="37.33203125" bestFit="1" customWidth="1"/>
    <col min="14" max="14" width="38.44140625" bestFit="1" customWidth="1"/>
    <col min="15" max="15" width="34.6640625" bestFit="1" customWidth="1"/>
    <col min="16" max="16" width="42.6640625" bestFit="1" customWidth="1"/>
    <col min="17" max="17" width="37.33203125" bestFit="1" customWidth="1"/>
    <col min="18" max="18" width="38.44140625" bestFit="1" customWidth="1"/>
    <col min="19" max="19" width="34.6640625" bestFit="1" customWidth="1"/>
    <col min="20" max="20" width="42.6640625" bestFit="1" customWidth="1"/>
    <col min="21" max="21" width="37.33203125" bestFit="1" customWidth="1"/>
    <col min="22" max="22" width="38.44140625" bestFit="1" customWidth="1"/>
    <col min="23" max="23" width="34.6640625" bestFit="1" customWidth="1"/>
    <col min="24" max="24" width="42.6640625" bestFit="1" customWidth="1"/>
    <col min="25" max="25" width="37.33203125" bestFit="1" customWidth="1"/>
    <col min="26" max="26" width="38.44140625" bestFit="1" customWidth="1"/>
    <col min="27" max="27" width="34.6640625" bestFit="1" customWidth="1"/>
    <col min="28" max="28" width="42.6640625" bestFit="1" customWidth="1"/>
    <col min="29" max="29" width="37.33203125" bestFit="1" customWidth="1"/>
  </cols>
  <sheetData>
    <row r="1" spans="1:29" x14ac:dyDescent="0.3">
      <c r="A1"/>
    </row>
    <row r="2" spans="1:29" ht="15" customHeight="1" x14ac:dyDescent="0.3">
      <c r="A2" s="37" t="s">
        <v>2</v>
      </c>
      <c r="B2" t="s" vm="3">
        <v>89</v>
      </c>
    </row>
    <row r="3" spans="1:29" s="1" customFormat="1" ht="27" customHeight="1" x14ac:dyDescent="0.3">
      <c r="A3" s="36" t="s">
        <v>9</v>
      </c>
      <c r="B3" t="s" vm="2">
        <v>191</v>
      </c>
      <c r="C3"/>
      <c r="D3"/>
      <c r="E3"/>
      <c r="F3"/>
      <c r="G3"/>
      <c r="H3"/>
      <c r="I3"/>
      <c r="J3"/>
      <c r="K3"/>
      <c r="L3" s="16"/>
      <c r="M3" s="16"/>
      <c r="N3" s="16"/>
      <c r="O3" s="16"/>
      <c r="P3" s="16"/>
      <c r="Q3" s="16"/>
      <c r="R3" s="16"/>
      <c r="S3" s="16"/>
      <c r="T3" s="16"/>
      <c r="U3" s="16"/>
      <c r="V3" s="16"/>
      <c r="W3" s="16"/>
      <c r="X3" s="16"/>
      <c r="Y3" s="16"/>
      <c r="Z3" s="16"/>
      <c r="AA3" s="16"/>
      <c r="AB3" s="16"/>
      <c r="AC3" s="16"/>
    </row>
    <row r="4" spans="1:29" x14ac:dyDescent="0.3">
      <c r="A4" s="36" t="s">
        <v>8</v>
      </c>
      <c r="B4" t="s" vm="1">
        <v>192</v>
      </c>
      <c r="D4"/>
    </row>
    <row r="5" spans="1:29" x14ac:dyDescent="0.3">
      <c r="A5"/>
      <c r="D5"/>
    </row>
    <row r="6" spans="1:29" ht="43.2" x14ac:dyDescent="0.3">
      <c r="A6" s="21" t="s">
        <v>193</v>
      </c>
      <c r="B6" s="11" t="s">
        <v>194</v>
      </c>
      <c r="C6" s="39" t="s">
        <v>195</v>
      </c>
      <c r="D6" s="40" t="s">
        <v>134</v>
      </c>
    </row>
    <row r="7" spans="1:29" ht="15" customHeight="1" x14ac:dyDescent="0.3">
      <c r="A7" s="25" t="s">
        <v>196</v>
      </c>
      <c r="B7" s="63"/>
      <c r="C7" s="39"/>
      <c r="D7" s="48"/>
    </row>
    <row r="8" spans="1:29" ht="15" customHeight="1" x14ac:dyDescent="0.3">
      <c r="A8" s="20" t="s">
        <v>92</v>
      </c>
      <c r="B8" s="63">
        <v>1</v>
      </c>
      <c r="C8" s="39">
        <v>351700</v>
      </c>
      <c r="D8" s="48">
        <v>1758500</v>
      </c>
    </row>
    <row r="9" spans="1:29" x14ac:dyDescent="0.3">
      <c r="A9" s="20" t="s">
        <v>30</v>
      </c>
      <c r="B9" s="63">
        <v>3</v>
      </c>
      <c r="C9" s="39">
        <v>60000</v>
      </c>
      <c r="D9" s="48">
        <v>240000</v>
      </c>
    </row>
    <row r="10" spans="1:29" x14ac:dyDescent="0.3">
      <c r="A10" s="20" t="s">
        <v>96</v>
      </c>
      <c r="B10" s="63">
        <v>3</v>
      </c>
      <c r="C10" s="39">
        <v>174900</v>
      </c>
      <c r="D10" s="48">
        <v>524700</v>
      </c>
    </row>
    <row r="11" spans="1:29" ht="28.8" x14ac:dyDescent="0.3">
      <c r="A11" s="25" t="s">
        <v>37</v>
      </c>
      <c r="B11" s="63"/>
      <c r="C11" s="39"/>
      <c r="D11" s="48"/>
    </row>
    <row r="12" spans="1:29" x14ac:dyDescent="0.3">
      <c r="A12" s="20" t="s">
        <v>100</v>
      </c>
      <c r="B12" s="63">
        <v>6</v>
      </c>
      <c r="C12" s="39">
        <v>95400</v>
      </c>
      <c r="D12" s="48">
        <v>286200</v>
      </c>
    </row>
    <row r="13" spans="1:29" x14ac:dyDescent="0.3">
      <c r="A13" s="20" t="s">
        <v>104</v>
      </c>
      <c r="B13" s="63">
        <v>4</v>
      </c>
      <c r="C13" s="39">
        <v>5600</v>
      </c>
      <c r="D13" s="48">
        <v>15120.000000000002</v>
      </c>
    </row>
    <row r="14" spans="1:29" x14ac:dyDescent="0.3">
      <c r="A14" s="38" t="s">
        <v>45</v>
      </c>
      <c r="B14" s="63">
        <v>6</v>
      </c>
      <c r="C14" s="39">
        <v>17400</v>
      </c>
      <c r="D14" s="48">
        <v>46980.000000000007</v>
      </c>
    </row>
    <row r="15" spans="1:29" x14ac:dyDescent="0.3">
      <c r="A15" s="20" t="s">
        <v>110</v>
      </c>
      <c r="B15" s="63">
        <v>24</v>
      </c>
      <c r="C15" s="39">
        <v>48000</v>
      </c>
      <c r="D15" s="48">
        <v>153600</v>
      </c>
    </row>
    <row r="16" spans="1:29" x14ac:dyDescent="0.3">
      <c r="A16" s="25" t="s">
        <v>197</v>
      </c>
      <c r="B16" s="63">
        <v>47</v>
      </c>
      <c r="C16" s="39">
        <v>753000</v>
      </c>
      <c r="D16" s="48">
        <v>3025100</v>
      </c>
    </row>
    <row r="17" spans="1:4" x14ac:dyDescent="0.3">
      <c r="A17"/>
      <c r="D17"/>
    </row>
    <row r="18" spans="1:4" x14ac:dyDescent="0.3">
      <c r="A18"/>
      <c r="D18"/>
    </row>
    <row r="19" spans="1:4" x14ac:dyDescent="0.3">
      <c r="A19"/>
      <c r="D19"/>
    </row>
    <row r="20" spans="1:4" x14ac:dyDescent="0.3">
      <c r="A20"/>
      <c r="D20"/>
    </row>
    <row r="21" spans="1:4" x14ac:dyDescent="0.3">
      <c r="A21"/>
      <c r="D21"/>
    </row>
    <row r="22" spans="1:4" x14ac:dyDescent="0.3">
      <c r="A22"/>
      <c r="D22"/>
    </row>
    <row r="23" spans="1:4" x14ac:dyDescent="0.3">
      <c r="A23"/>
      <c r="D23"/>
    </row>
    <row r="24" spans="1:4" x14ac:dyDescent="0.3">
      <c r="A24"/>
      <c r="D24"/>
    </row>
    <row r="25" spans="1:4" x14ac:dyDescent="0.3">
      <c r="A25"/>
      <c r="D25"/>
    </row>
    <row r="26" spans="1:4" x14ac:dyDescent="0.3">
      <c r="A26"/>
      <c r="D26"/>
    </row>
    <row r="27" spans="1:4" x14ac:dyDescent="0.3">
      <c r="A27"/>
      <c r="D27"/>
    </row>
    <row r="28" spans="1:4" x14ac:dyDescent="0.3">
      <c r="A28"/>
      <c r="D28"/>
    </row>
    <row r="29" spans="1:4" x14ac:dyDescent="0.3">
      <c r="A29"/>
      <c r="D29"/>
    </row>
    <row r="30" spans="1:4" x14ac:dyDescent="0.3">
      <c r="A30"/>
      <c r="D30"/>
    </row>
    <row r="31" spans="1:4" x14ac:dyDescent="0.3">
      <c r="A31"/>
      <c r="D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B9DA0-9075-4AA6-984B-E5E2F807A8AE}">
  <dimension ref="A1:E134"/>
  <sheetViews>
    <sheetView workbookViewId="0">
      <pane ySplit="1" topLeftCell="A2" activePane="bottomLeft" state="frozen"/>
      <selection pane="bottomLeft" activeCell="B5" sqref="B5"/>
    </sheetView>
  </sheetViews>
  <sheetFormatPr defaultRowHeight="14.4" x14ac:dyDescent="0.3"/>
  <cols>
    <col min="1" max="1" width="11.44140625" bestFit="1" customWidth="1"/>
    <col min="2" max="2" width="41.5546875" bestFit="1" customWidth="1"/>
    <col min="3" max="3" width="43" bestFit="1" customWidth="1"/>
    <col min="4" max="4" width="37.5546875" bestFit="1" customWidth="1"/>
    <col min="5" max="5" width="26.109375" bestFit="1" customWidth="1"/>
  </cols>
  <sheetData>
    <row r="1" spans="1:5" x14ac:dyDescent="0.3">
      <c r="A1" s="1" t="s">
        <v>0</v>
      </c>
      <c r="B1" t="s">
        <v>10</v>
      </c>
      <c r="C1" s="1" t="s">
        <v>198</v>
      </c>
      <c r="D1" t="s">
        <v>199</v>
      </c>
      <c r="E1" t="s">
        <v>200</v>
      </c>
    </row>
    <row r="2" spans="1:5" x14ac:dyDescent="0.3">
      <c r="A2" s="10">
        <v>251</v>
      </c>
      <c r="B2" t="s">
        <v>201</v>
      </c>
      <c r="C2" s="12" t="s">
        <v>201</v>
      </c>
      <c r="D2" t="s">
        <v>202</v>
      </c>
    </row>
    <row r="3" spans="1:5" x14ac:dyDescent="0.3">
      <c r="A3" s="10">
        <v>252</v>
      </c>
      <c r="B3" t="s">
        <v>203</v>
      </c>
      <c r="C3" s="12" t="s">
        <v>203</v>
      </c>
      <c r="D3" t="s">
        <v>202</v>
      </c>
    </row>
    <row r="4" spans="1:5" x14ac:dyDescent="0.3">
      <c r="A4" s="10">
        <v>253</v>
      </c>
      <c r="B4" t="s">
        <v>204</v>
      </c>
      <c r="C4" s="12" t="s">
        <v>204</v>
      </c>
      <c r="D4" t="s">
        <v>202</v>
      </c>
    </row>
    <row r="5" spans="1:5" x14ac:dyDescent="0.3">
      <c r="A5" s="10">
        <v>254</v>
      </c>
      <c r="B5" t="s">
        <v>205</v>
      </c>
      <c r="C5" s="12" t="s">
        <v>205</v>
      </c>
      <c r="D5" t="s">
        <v>202</v>
      </c>
    </row>
    <row r="6" spans="1:5" x14ac:dyDescent="0.3">
      <c r="A6" s="10">
        <v>255</v>
      </c>
      <c r="B6" t="s">
        <v>206</v>
      </c>
      <c r="C6" s="12" t="s">
        <v>206</v>
      </c>
      <c r="D6" t="s">
        <v>202</v>
      </c>
    </row>
    <row r="7" spans="1:5" x14ac:dyDescent="0.3">
      <c r="A7" s="10">
        <v>256</v>
      </c>
      <c r="B7" t="s">
        <v>207</v>
      </c>
      <c r="C7" s="12" t="s">
        <v>207</v>
      </c>
      <c r="D7" t="s">
        <v>202</v>
      </c>
    </row>
    <row r="8" spans="1:5" x14ac:dyDescent="0.3">
      <c r="A8" s="10">
        <v>257</v>
      </c>
      <c r="B8" t="s">
        <v>208</v>
      </c>
      <c r="C8" s="12" t="s">
        <v>208</v>
      </c>
      <c r="D8" t="s">
        <v>202</v>
      </c>
    </row>
    <row r="9" spans="1:5" x14ac:dyDescent="0.3">
      <c r="A9" s="10">
        <v>258</v>
      </c>
      <c r="B9" t="s">
        <v>209</v>
      </c>
      <c r="C9" s="12" t="s">
        <v>209</v>
      </c>
      <c r="D9" t="s">
        <v>202</v>
      </c>
    </row>
    <row r="10" spans="1:5" x14ac:dyDescent="0.3">
      <c r="A10" s="10">
        <v>259</v>
      </c>
      <c r="B10" t="s">
        <v>210</v>
      </c>
      <c r="C10" s="12" t="s">
        <v>210</v>
      </c>
      <c r="D10" t="s">
        <v>202</v>
      </c>
    </row>
    <row r="11" spans="1:5" x14ac:dyDescent="0.3">
      <c r="A11" s="10">
        <v>260</v>
      </c>
      <c r="B11" t="s">
        <v>211</v>
      </c>
      <c r="C11" s="12" t="s">
        <v>211</v>
      </c>
      <c r="D11" t="s">
        <v>202</v>
      </c>
    </row>
    <row r="12" spans="1:5" x14ac:dyDescent="0.3">
      <c r="A12" s="10">
        <v>261</v>
      </c>
      <c r="B12" t="s">
        <v>212</v>
      </c>
      <c r="C12" s="12" t="s">
        <v>212</v>
      </c>
      <c r="D12" t="s">
        <v>202</v>
      </c>
    </row>
    <row r="13" spans="1:5" x14ac:dyDescent="0.3">
      <c r="A13" s="10">
        <v>262</v>
      </c>
      <c r="B13" t="s">
        <v>213</v>
      </c>
      <c r="C13" s="12" t="s">
        <v>213</v>
      </c>
      <c r="D13" t="s">
        <v>202</v>
      </c>
    </row>
    <row r="14" spans="1:5" x14ac:dyDescent="0.3">
      <c r="A14" s="10">
        <v>263</v>
      </c>
      <c r="B14" t="s">
        <v>214</v>
      </c>
      <c r="C14" s="12" t="s">
        <v>214</v>
      </c>
      <c r="D14" t="s">
        <v>202</v>
      </c>
    </row>
    <row r="15" spans="1:5" x14ac:dyDescent="0.3">
      <c r="A15" s="10">
        <v>264</v>
      </c>
      <c r="B15" t="s">
        <v>215</v>
      </c>
      <c r="C15" s="12" t="s">
        <v>215</v>
      </c>
      <c r="D15" t="s">
        <v>202</v>
      </c>
    </row>
    <row r="16" spans="1:5" x14ac:dyDescent="0.3">
      <c r="A16" s="10">
        <v>265</v>
      </c>
      <c r="B16" t="s">
        <v>216</v>
      </c>
      <c r="C16" s="12" t="s">
        <v>216</v>
      </c>
      <c r="D16" t="s">
        <v>202</v>
      </c>
    </row>
    <row r="17" spans="1:4" x14ac:dyDescent="0.3">
      <c r="A17" s="10">
        <v>266</v>
      </c>
      <c r="B17" t="s">
        <v>217</v>
      </c>
      <c r="C17" s="12" t="s">
        <v>217</v>
      </c>
      <c r="D17" t="s">
        <v>202</v>
      </c>
    </row>
    <row r="18" spans="1:4" x14ac:dyDescent="0.3">
      <c r="A18" s="10">
        <v>267</v>
      </c>
      <c r="B18" t="s">
        <v>218</v>
      </c>
      <c r="C18" s="12" t="s">
        <v>218</v>
      </c>
      <c r="D18" t="s">
        <v>202</v>
      </c>
    </row>
    <row r="19" spans="1:4" x14ac:dyDescent="0.3">
      <c r="A19" s="10">
        <v>268</v>
      </c>
      <c r="B19" t="s">
        <v>219</v>
      </c>
      <c r="C19" s="12" t="s">
        <v>219</v>
      </c>
      <c r="D19" t="s">
        <v>202</v>
      </c>
    </row>
    <row r="20" spans="1:4" x14ac:dyDescent="0.3">
      <c r="A20" s="10">
        <v>269</v>
      </c>
      <c r="B20" t="s">
        <v>220</v>
      </c>
      <c r="C20" s="12" t="s">
        <v>220</v>
      </c>
      <c r="D20" t="s">
        <v>202</v>
      </c>
    </row>
    <row r="21" spans="1:4" x14ac:dyDescent="0.3">
      <c r="A21" s="10">
        <v>270</v>
      </c>
      <c r="B21" t="s">
        <v>221</v>
      </c>
      <c r="C21" s="12" t="s">
        <v>221</v>
      </c>
      <c r="D21" t="s">
        <v>202</v>
      </c>
    </row>
    <row r="22" spans="1:4" x14ac:dyDescent="0.3">
      <c r="A22" s="10">
        <v>271</v>
      </c>
      <c r="B22" t="s">
        <v>222</v>
      </c>
      <c r="C22" s="12" t="s">
        <v>222</v>
      </c>
      <c r="D22" t="s">
        <v>202</v>
      </c>
    </row>
    <row r="23" spans="1:4" x14ac:dyDescent="0.3">
      <c r="A23" s="10">
        <v>282</v>
      </c>
      <c r="B23" t="s">
        <v>223</v>
      </c>
      <c r="C23" s="12" t="s">
        <v>223</v>
      </c>
      <c r="D23" t="s">
        <v>202</v>
      </c>
    </row>
    <row r="24" spans="1:4" x14ac:dyDescent="0.3">
      <c r="A24" s="10">
        <v>320</v>
      </c>
      <c r="B24" t="s">
        <v>224</v>
      </c>
      <c r="C24" s="12" t="s">
        <v>224</v>
      </c>
      <c r="D24" t="s">
        <v>202</v>
      </c>
    </row>
    <row r="25" spans="1:4" x14ac:dyDescent="0.3">
      <c r="A25" s="10">
        <v>321</v>
      </c>
      <c r="B25" t="s">
        <v>225</v>
      </c>
      <c r="C25" s="12" t="s">
        <v>225</v>
      </c>
      <c r="D25" t="s">
        <v>202</v>
      </c>
    </row>
    <row r="26" spans="1:4" x14ac:dyDescent="0.3">
      <c r="A26" s="10">
        <v>325</v>
      </c>
      <c r="B26" t="s">
        <v>226</v>
      </c>
      <c r="C26" s="12" t="s">
        <v>226</v>
      </c>
      <c r="D26" t="s">
        <v>202</v>
      </c>
    </row>
    <row r="27" spans="1:4" x14ac:dyDescent="0.3">
      <c r="A27" s="10">
        <v>326</v>
      </c>
      <c r="B27" t="s">
        <v>227</v>
      </c>
      <c r="C27" s="12" t="s">
        <v>227</v>
      </c>
      <c r="D27" t="s">
        <v>202</v>
      </c>
    </row>
    <row r="28" spans="1:4" x14ac:dyDescent="0.3">
      <c r="A28" s="10">
        <v>272</v>
      </c>
      <c r="B28" t="s">
        <v>228</v>
      </c>
      <c r="C28" s="12" t="s">
        <v>228</v>
      </c>
      <c r="D28" t="s">
        <v>202</v>
      </c>
    </row>
    <row r="29" spans="1:4" x14ac:dyDescent="0.3">
      <c r="A29" s="10">
        <v>273</v>
      </c>
      <c r="B29" t="s">
        <v>229</v>
      </c>
      <c r="C29" s="12" t="s">
        <v>229</v>
      </c>
      <c r="D29" t="s">
        <v>202</v>
      </c>
    </row>
    <row r="30" spans="1:4" x14ac:dyDescent="0.3">
      <c r="A30" s="10">
        <v>274</v>
      </c>
      <c r="B30" t="s">
        <v>230</v>
      </c>
      <c r="C30" s="12" t="s">
        <v>230</v>
      </c>
      <c r="D30" t="s">
        <v>202</v>
      </c>
    </row>
    <row r="31" spans="1:4" x14ac:dyDescent="0.3">
      <c r="A31" s="10">
        <v>275</v>
      </c>
      <c r="B31" t="s">
        <v>231</v>
      </c>
      <c r="C31" s="12" t="s">
        <v>231</v>
      </c>
      <c r="D31" t="s">
        <v>202</v>
      </c>
    </row>
    <row r="32" spans="1:4" x14ac:dyDescent="0.3">
      <c r="A32" s="10">
        <v>276</v>
      </c>
      <c r="B32" t="s">
        <v>232</v>
      </c>
      <c r="C32" s="12" t="s">
        <v>232</v>
      </c>
      <c r="D32" t="s">
        <v>202</v>
      </c>
    </row>
    <row r="33" spans="1:4" x14ac:dyDescent="0.3">
      <c r="A33" s="10">
        <v>277</v>
      </c>
      <c r="B33" t="s">
        <v>233</v>
      </c>
      <c r="C33" s="12" t="s">
        <v>233</v>
      </c>
      <c r="D33" t="s">
        <v>202</v>
      </c>
    </row>
    <row r="34" spans="1:4" x14ac:dyDescent="0.3">
      <c r="A34" s="10">
        <v>278</v>
      </c>
      <c r="B34" t="s">
        <v>234</v>
      </c>
      <c r="C34" s="12" t="s">
        <v>234</v>
      </c>
      <c r="D34" t="s">
        <v>202</v>
      </c>
    </row>
    <row r="35" spans="1:4" x14ac:dyDescent="0.3">
      <c r="A35" s="10">
        <v>279</v>
      </c>
      <c r="B35" t="s">
        <v>235</v>
      </c>
      <c r="C35" s="12" t="s">
        <v>235</v>
      </c>
      <c r="D35" t="s">
        <v>202</v>
      </c>
    </row>
    <row r="36" spans="1:4" x14ac:dyDescent="0.3">
      <c r="A36" s="10">
        <v>280</v>
      </c>
      <c r="B36" t="s">
        <v>236</v>
      </c>
      <c r="C36" s="12" t="s">
        <v>236</v>
      </c>
      <c r="D36" t="s">
        <v>202</v>
      </c>
    </row>
    <row r="37" spans="1:4" x14ac:dyDescent="0.3">
      <c r="A37" s="10">
        <v>281</v>
      </c>
      <c r="B37" t="s">
        <v>237</v>
      </c>
      <c r="C37" s="12" t="s">
        <v>237</v>
      </c>
      <c r="D37" t="s">
        <v>202</v>
      </c>
    </row>
    <row r="38" spans="1:4" x14ac:dyDescent="0.3">
      <c r="A38" s="10">
        <v>283</v>
      </c>
      <c r="B38" t="s">
        <v>238</v>
      </c>
      <c r="C38" s="12" t="s">
        <v>238</v>
      </c>
      <c r="D38" t="s">
        <v>202</v>
      </c>
    </row>
    <row r="39" spans="1:4" x14ac:dyDescent="0.3">
      <c r="A39" s="10">
        <v>322</v>
      </c>
      <c r="B39" t="s">
        <v>239</v>
      </c>
      <c r="C39" s="12" t="s">
        <v>239</v>
      </c>
      <c r="D39" t="s">
        <v>202</v>
      </c>
    </row>
    <row r="40" spans="1:4" x14ac:dyDescent="0.3">
      <c r="A40" s="10">
        <v>284</v>
      </c>
      <c r="B40" t="s">
        <v>240</v>
      </c>
      <c r="C40" s="12" t="s">
        <v>240</v>
      </c>
      <c r="D40" t="s">
        <v>202</v>
      </c>
    </row>
    <row r="41" spans="1:4" x14ac:dyDescent="0.3">
      <c r="A41" s="10">
        <v>285</v>
      </c>
      <c r="B41" t="s">
        <v>241</v>
      </c>
      <c r="C41" s="12" t="s">
        <v>241</v>
      </c>
      <c r="D41" t="s">
        <v>202</v>
      </c>
    </row>
    <row r="42" spans="1:4" x14ac:dyDescent="0.3">
      <c r="A42" s="10">
        <v>286</v>
      </c>
      <c r="B42" t="s">
        <v>242</v>
      </c>
      <c r="C42" s="12" t="s">
        <v>242</v>
      </c>
      <c r="D42" t="s">
        <v>202</v>
      </c>
    </row>
    <row r="43" spans="1:4" x14ac:dyDescent="0.3">
      <c r="A43" s="10">
        <v>287</v>
      </c>
      <c r="B43" t="s">
        <v>243</v>
      </c>
      <c r="C43" s="12" t="s">
        <v>243</v>
      </c>
      <c r="D43" t="s">
        <v>202</v>
      </c>
    </row>
    <row r="44" spans="1:4" x14ac:dyDescent="0.3">
      <c r="A44" s="10">
        <v>293</v>
      </c>
      <c r="B44" t="s">
        <v>244</v>
      </c>
      <c r="C44" s="12" t="s">
        <v>244</v>
      </c>
      <c r="D44" t="s">
        <v>202</v>
      </c>
    </row>
    <row r="45" spans="1:4" x14ac:dyDescent="0.3">
      <c r="A45" s="10">
        <v>289</v>
      </c>
      <c r="B45" t="s">
        <v>245</v>
      </c>
      <c r="C45" s="12" t="s">
        <v>245</v>
      </c>
      <c r="D45" t="s">
        <v>202</v>
      </c>
    </row>
    <row r="46" spans="1:4" x14ac:dyDescent="0.3">
      <c r="A46" s="10">
        <v>290</v>
      </c>
      <c r="B46" t="s">
        <v>246</v>
      </c>
      <c r="C46" s="12" t="s">
        <v>246</v>
      </c>
      <c r="D46" t="s">
        <v>202</v>
      </c>
    </row>
    <row r="47" spans="1:4" x14ac:dyDescent="0.3">
      <c r="A47" s="10">
        <v>291</v>
      </c>
      <c r="B47" t="s">
        <v>247</v>
      </c>
      <c r="C47" s="12" t="s">
        <v>247</v>
      </c>
      <c r="D47" t="s">
        <v>202</v>
      </c>
    </row>
    <row r="48" spans="1:4" x14ac:dyDescent="0.3">
      <c r="A48" s="10">
        <v>292</v>
      </c>
      <c r="B48" t="s">
        <v>248</v>
      </c>
      <c r="C48" s="12" t="s">
        <v>248</v>
      </c>
      <c r="D48" t="s">
        <v>202</v>
      </c>
    </row>
    <row r="49" spans="1:4" x14ac:dyDescent="0.3">
      <c r="A49" s="10">
        <v>294</v>
      </c>
      <c r="B49" t="s">
        <v>249</v>
      </c>
      <c r="C49" s="12" t="s">
        <v>249</v>
      </c>
      <c r="D49" t="s">
        <v>202</v>
      </c>
    </row>
    <row r="50" spans="1:4" x14ac:dyDescent="0.3">
      <c r="A50" s="10">
        <v>295</v>
      </c>
      <c r="B50" t="s">
        <v>250</v>
      </c>
      <c r="C50" s="12" t="s">
        <v>250</v>
      </c>
      <c r="D50" t="s">
        <v>202</v>
      </c>
    </row>
    <row r="51" spans="1:4" x14ac:dyDescent="0.3">
      <c r="A51" s="10">
        <v>296</v>
      </c>
      <c r="B51" t="s">
        <v>251</v>
      </c>
      <c r="C51" s="12" t="s">
        <v>251</v>
      </c>
      <c r="D51" t="s">
        <v>252</v>
      </c>
    </row>
    <row r="52" spans="1:4" x14ac:dyDescent="0.3">
      <c r="A52" s="10">
        <v>297</v>
      </c>
      <c r="B52" t="s">
        <v>253</v>
      </c>
      <c r="C52" s="12" t="s">
        <v>253</v>
      </c>
      <c r="D52" t="s">
        <v>202</v>
      </c>
    </row>
    <row r="53" spans="1:4" x14ac:dyDescent="0.3">
      <c r="A53" s="10">
        <v>298</v>
      </c>
      <c r="B53" t="s">
        <v>254</v>
      </c>
      <c r="C53" s="12" t="s">
        <v>254</v>
      </c>
    </row>
    <row r="54" spans="1:4" x14ac:dyDescent="0.3">
      <c r="A54" s="10">
        <v>299</v>
      </c>
      <c r="B54" t="s">
        <v>255</v>
      </c>
      <c r="C54" s="12" t="s">
        <v>255</v>
      </c>
    </row>
    <row r="55" spans="1:4" x14ac:dyDescent="0.3">
      <c r="A55" s="10">
        <v>300</v>
      </c>
      <c r="B55" t="s">
        <v>256</v>
      </c>
      <c r="C55" s="12" t="s">
        <v>256</v>
      </c>
    </row>
    <row r="56" spans="1:4" x14ac:dyDescent="0.3">
      <c r="A56" s="10">
        <v>301</v>
      </c>
      <c r="B56" t="s">
        <v>257</v>
      </c>
      <c r="C56" s="12" t="s">
        <v>257</v>
      </c>
    </row>
    <row r="57" spans="1:4" x14ac:dyDescent="0.3">
      <c r="A57" s="10">
        <v>302</v>
      </c>
      <c r="B57" t="s">
        <v>258</v>
      </c>
      <c r="C57" s="12" t="s">
        <v>258</v>
      </c>
    </row>
    <row r="58" spans="1:4" x14ac:dyDescent="0.3">
      <c r="A58" s="10">
        <v>303</v>
      </c>
      <c r="B58" t="s">
        <v>259</v>
      </c>
      <c r="C58" s="12" t="s">
        <v>259</v>
      </c>
    </row>
    <row r="59" spans="1:4" x14ac:dyDescent="0.3">
      <c r="A59" s="10">
        <v>304</v>
      </c>
      <c r="B59" t="s">
        <v>260</v>
      </c>
      <c r="C59" s="12" t="s">
        <v>260</v>
      </c>
    </row>
    <row r="60" spans="1:4" x14ac:dyDescent="0.3">
      <c r="A60" s="10">
        <v>305</v>
      </c>
      <c r="B60" t="s">
        <v>261</v>
      </c>
      <c r="C60" s="12" t="s">
        <v>261</v>
      </c>
    </row>
    <row r="61" spans="1:4" x14ac:dyDescent="0.3">
      <c r="A61" s="10">
        <v>306</v>
      </c>
      <c r="B61" t="s">
        <v>262</v>
      </c>
      <c r="C61" s="12" t="s">
        <v>262</v>
      </c>
    </row>
    <row r="62" spans="1:4" x14ac:dyDescent="0.3">
      <c r="A62" s="10">
        <v>307</v>
      </c>
      <c r="B62" t="s">
        <v>263</v>
      </c>
      <c r="C62" s="12" t="s">
        <v>263</v>
      </c>
    </row>
    <row r="63" spans="1:4" x14ac:dyDescent="0.3">
      <c r="A63" s="10">
        <v>308</v>
      </c>
      <c r="B63" t="s">
        <v>264</v>
      </c>
      <c r="C63" s="12" t="s">
        <v>264</v>
      </c>
    </row>
    <row r="64" spans="1:4" x14ac:dyDescent="0.3">
      <c r="A64" s="10">
        <v>309</v>
      </c>
      <c r="B64" t="s">
        <v>265</v>
      </c>
      <c r="C64" s="12" t="s">
        <v>265</v>
      </c>
    </row>
    <row r="65" spans="1:3" x14ac:dyDescent="0.3">
      <c r="A65" s="10">
        <v>310</v>
      </c>
      <c r="B65" t="s">
        <v>266</v>
      </c>
      <c r="C65" s="12" t="s">
        <v>266</v>
      </c>
    </row>
    <row r="66" spans="1:3" x14ac:dyDescent="0.3">
      <c r="A66" s="10">
        <v>311</v>
      </c>
      <c r="B66" t="s">
        <v>267</v>
      </c>
      <c r="C66" s="12" t="s">
        <v>267</v>
      </c>
    </row>
    <row r="67" spans="1:3" x14ac:dyDescent="0.3">
      <c r="A67" s="10">
        <v>312</v>
      </c>
      <c r="B67" t="s">
        <v>268</v>
      </c>
      <c r="C67" s="12" t="s">
        <v>268</v>
      </c>
    </row>
    <row r="68" spans="1:3" x14ac:dyDescent="0.3">
      <c r="A68" s="10">
        <v>313</v>
      </c>
      <c r="B68" t="s">
        <v>269</v>
      </c>
      <c r="C68" s="12" t="s">
        <v>269</v>
      </c>
    </row>
    <row r="69" spans="1:3" x14ac:dyDescent="0.3">
      <c r="A69" s="10">
        <v>316</v>
      </c>
      <c r="B69" t="s">
        <v>270</v>
      </c>
      <c r="C69" s="12" t="s">
        <v>270</v>
      </c>
    </row>
    <row r="70" spans="1:3" x14ac:dyDescent="0.3">
      <c r="A70" s="10">
        <v>321</v>
      </c>
      <c r="B70" t="s">
        <v>271</v>
      </c>
      <c r="C70" s="12" t="s">
        <v>271</v>
      </c>
    </row>
    <row r="71" spans="1:3" x14ac:dyDescent="0.3">
      <c r="A71" s="10">
        <v>317</v>
      </c>
      <c r="B71" t="s">
        <v>272</v>
      </c>
      <c r="C71" s="12" t="s">
        <v>272</v>
      </c>
    </row>
    <row r="72" spans="1:3" x14ac:dyDescent="0.3">
      <c r="A72" s="10">
        <v>328</v>
      </c>
      <c r="B72" t="s">
        <v>273</v>
      </c>
      <c r="C72" s="12" t="s">
        <v>273</v>
      </c>
    </row>
    <row r="73" spans="1:3" x14ac:dyDescent="0.3">
      <c r="A73" s="10">
        <v>318</v>
      </c>
      <c r="B73" t="s">
        <v>274</v>
      </c>
      <c r="C73" s="12" t="s">
        <v>274</v>
      </c>
    </row>
    <row r="74" spans="1:3" x14ac:dyDescent="0.3">
      <c r="A74" s="10">
        <v>319</v>
      </c>
      <c r="B74" t="s">
        <v>275</v>
      </c>
      <c r="C74" s="12" t="s">
        <v>275</v>
      </c>
    </row>
    <row r="75" spans="1:3" x14ac:dyDescent="0.3">
      <c r="A75" s="10">
        <v>324</v>
      </c>
      <c r="B75" t="s">
        <v>114</v>
      </c>
      <c r="C75" s="12" t="s">
        <v>114</v>
      </c>
    </row>
    <row r="76" spans="1:3" x14ac:dyDescent="0.3">
      <c r="A76" s="10">
        <v>288</v>
      </c>
      <c r="B76" t="s">
        <v>276</v>
      </c>
      <c r="C76" s="12" t="s">
        <v>276</v>
      </c>
    </row>
    <row r="77" spans="1:3" x14ac:dyDescent="0.3">
      <c r="A77" s="10">
        <v>323</v>
      </c>
      <c r="B77" t="s">
        <v>89</v>
      </c>
      <c r="C77" s="12" t="s">
        <v>89</v>
      </c>
    </row>
    <row r="78" spans="1:3" x14ac:dyDescent="0.3">
      <c r="A78" s="10">
        <v>327</v>
      </c>
      <c r="B78" t="s">
        <v>266</v>
      </c>
      <c r="C78" s="12" t="s">
        <v>266</v>
      </c>
    </row>
    <row r="79" spans="1:3" x14ac:dyDescent="0.3">
      <c r="A79" s="10">
        <v>328</v>
      </c>
      <c r="B79" t="s">
        <v>277</v>
      </c>
      <c r="C79" s="12" t="s">
        <v>277</v>
      </c>
    </row>
    <row r="80" spans="1:3" x14ac:dyDescent="0.3">
      <c r="A80" s="10">
        <v>322</v>
      </c>
      <c r="B80" t="s">
        <v>278</v>
      </c>
      <c r="C80" s="12" t="s">
        <v>278</v>
      </c>
    </row>
    <row r="81" spans="1:4" x14ac:dyDescent="0.3">
      <c r="A81" s="10">
        <v>329</v>
      </c>
      <c r="B81" t="s">
        <v>279</v>
      </c>
      <c r="C81" s="12" t="s">
        <v>279</v>
      </c>
    </row>
    <row r="82" spans="1:4" x14ac:dyDescent="0.3">
      <c r="A82" s="10">
        <v>330</v>
      </c>
      <c r="B82" t="s">
        <v>280</v>
      </c>
      <c r="C82" s="12" t="s">
        <v>280</v>
      </c>
    </row>
    <row r="83" spans="1:4" x14ac:dyDescent="0.3">
      <c r="A83" s="10">
        <v>331</v>
      </c>
      <c r="B83" t="s">
        <v>281</v>
      </c>
      <c r="C83" s="12" t="s">
        <v>281</v>
      </c>
      <c r="D83" t="s">
        <v>202</v>
      </c>
    </row>
    <row r="84" spans="1:4" x14ac:dyDescent="0.3">
      <c r="A84" s="10">
        <v>345</v>
      </c>
      <c r="B84" t="s">
        <v>282</v>
      </c>
      <c r="C84" s="12" t="s">
        <v>282</v>
      </c>
      <c r="D84" t="s">
        <v>202</v>
      </c>
    </row>
    <row r="85" spans="1:4" x14ac:dyDescent="0.3">
      <c r="A85" s="10">
        <v>332</v>
      </c>
      <c r="B85" t="s">
        <v>283</v>
      </c>
      <c r="C85" s="12" t="s">
        <v>283</v>
      </c>
    </row>
    <row r="86" spans="1:4" x14ac:dyDescent="0.3">
      <c r="A86" s="10">
        <v>343</v>
      </c>
      <c r="B86" t="s">
        <v>284</v>
      </c>
      <c r="C86" s="12" t="s">
        <v>284</v>
      </c>
    </row>
    <row r="87" spans="1:4" x14ac:dyDescent="0.3">
      <c r="A87" s="10">
        <v>333</v>
      </c>
      <c r="B87" t="s">
        <v>285</v>
      </c>
      <c r="C87" s="12" t="s">
        <v>285</v>
      </c>
    </row>
    <row r="88" spans="1:4" x14ac:dyDescent="0.3">
      <c r="A88" s="10">
        <v>334</v>
      </c>
      <c r="B88" t="s">
        <v>286</v>
      </c>
      <c r="C88" s="12" t="s">
        <v>286</v>
      </c>
    </row>
    <row r="89" spans="1:4" x14ac:dyDescent="0.3">
      <c r="A89" s="10">
        <v>335</v>
      </c>
      <c r="B89" t="s">
        <v>287</v>
      </c>
      <c r="C89" s="12" t="s">
        <v>287</v>
      </c>
      <c r="D89" t="s">
        <v>202</v>
      </c>
    </row>
    <row r="90" spans="1:4" x14ac:dyDescent="0.3">
      <c r="A90" s="10">
        <v>336</v>
      </c>
      <c r="B90" t="s">
        <v>288</v>
      </c>
      <c r="C90" s="12" t="s">
        <v>288</v>
      </c>
    </row>
    <row r="91" spans="1:4" x14ac:dyDescent="0.3">
      <c r="A91" s="10">
        <v>337</v>
      </c>
      <c r="B91" t="s">
        <v>289</v>
      </c>
      <c r="C91" s="12" t="s">
        <v>289</v>
      </c>
    </row>
    <row r="92" spans="1:4" x14ac:dyDescent="0.3">
      <c r="A92" s="10">
        <v>338</v>
      </c>
      <c r="B92" t="s">
        <v>290</v>
      </c>
      <c r="C92" s="12" t="s">
        <v>290</v>
      </c>
    </row>
    <row r="93" spans="1:4" x14ac:dyDescent="0.3">
      <c r="A93" s="10">
        <v>339</v>
      </c>
      <c r="B93" t="s">
        <v>291</v>
      </c>
      <c r="C93" s="12" t="s">
        <v>291</v>
      </c>
    </row>
    <row r="94" spans="1:4" x14ac:dyDescent="0.3">
      <c r="A94" s="10">
        <v>346</v>
      </c>
      <c r="B94" t="s">
        <v>292</v>
      </c>
      <c r="C94" s="12" t="s">
        <v>292</v>
      </c>
    </row>
    <row r="95" spans="1:4" x14ac:dyDescent="0.3">
      <c r="A95" s="10">
        <v>340</v>
      </c>
      <c r="B95" t="s">
        <v>293</v>
      </c>
      <c r="C95" s="12" t="s">
        <v>293</v>
      </c>
    </row>
    <row r="96" spans="1:4" x14ac:dyDescent="0.3">
      <c r="A96" s="10">
        <v>344</v>
      </c>
      <c r="B96" t="s">
        <v>294</v>
      </c>
      <c r="C96" s="12" t="s">
        <v>294</v>
      </c>
    </row>
    <row r="97" spans="1:4" x14ac:dyDescent="0.3">
      <c r="A97" s="10">
        <v>347</v>
      </c>
      <c r="B97" t="s">
        <v>295</v>
      </c>
      <c r="C97" s="12" t="s">
        <v>295</v>
      </c>
    </row>
    <row r="98" spans="1:4" x14ac:dyDescent="0.3">
      <c r="A98" s="10">
        <v>341</v>
      </c>
      <c r="B98" t="s">
        <v>296</v>
      </c>
      <c r="C98" s="12" t="s">
        <v>296</v>
      </c>
    </row>
    <row r="99" spans="1:4" x14ac:dyDescent="0.3">
      <c r="A99" s="10">
        <v>342</v>
      </c>
      <c r="B99" t="s">
        <v>297</v>
      </c>
      <c r="C99" s="12" t="s">
        <v>297</v>
      </c>
    </row>
    <row r="100" spans="1:4" x14ac:dyDescent="0.3">
      <c r="A100" s="10">
        <v>348</v>
      </c>
      <c r="B100" t="s">
        <v>298</v>
      </c>
      <c r="C100" s="12" t="s">
        <v>298</v>
      </c>
    </row>
    <row r="101" spans="1:4" x14ac:dyDescent="0.3">
      <c r="A101" s="10">
        <v>349</v>
      </c>
      <c r="B101" t="s">
        <v>299</v>
      </c>
      <c r="C101" s="12" t="s">
        <v>299</v>
      </c>
    </row>
    <row r="102" spans="1:4" x14ac:dyDescent="0.3">
      <c r="A102" s="10">
        <v>350</v>
      </c>
      <c r="B102" t="s">
        <v>300</v>
      </c>
      <c r="C102" s="12" t="s">
        <v>300</v>
      </c>
      <c r="D102" t="s">
        <v>301</v>
      </c>
    </row>
    <row r="103" spans="1:4" x14ac:dyDescent="0.3">
      <c r="A103" s="10">
        <v>351</v>
      </c>
      <c r="B103" t="s">
        <v>302</v>
      </c>
      <c r="C103" s="12" t="s">
        <v>302</v>
      </c>
    </row>
    <row r="104" spans="1:4" x14ac:dyDescent="0.3">
      <c r="A104" s="10">
        <v>352</v>
      </c>
      <c r="B104" t="s">
        <v>303</v>
      </c>
      <c r="C104" s="12" t="s">
        <v>303</v>
      </c>
    </row>
    <row r="105" spans="1:4" x14ac:dyDescent="0.3">
      <c r="A105" s="10">
        <v>352</v>
      </c>
      <c r="B105" t="s">
        <v>304</v>
      </c>
      <c r="C105" s="12" t="s">
        <v>304</v>
      </c>
    </row>
    <row r="106" spans="1:4" x14ac:dyDescent="0.3">
      <c r="A106" s="10">
        <v>353</v>
      </c>
      <c r="B106" t="s">
        <v>305</v>
      </c>
      <c r="C106" s="12" t="s">
        <v>305</v>
      </c>
    </row>
    <row r="107" spans="1:4" x14ac:dyDescent="0.3">
      <c r="A107" s="10">
        <v>354</v>
      </c>
      <c r="B107" t="s">
        <v>306</v>
      </c>
      <c r="C107" s="12" t="s">
        <v>306</v>
      </c>
    </row>
    <row r="108" spans="1:4" x14ac:dyDescent="0.3">
      <c r="A108" s="10">
        <v>355</v>
      </c>
      <c r="B108" t="s">
        <v>307</v>
      </c>
      <c r="C108" s="12" t="s">
        <v>307</v>
      </c>
    </row>
    <row r="109" spans="1:4" x14ac:dyDescent="0.3">
      <c r="A109" s="10">
        <v>357</v>
      </c>
      <c r="B109" t="s">
        <v>308</v>
      </c>
      <c r="C109" s="12" t="s">
        <v>308</v>
      </c>
      <c r="D109" t="s">
        <v>309</v>
      </c>
    </row>
    <row r="110" spans="1:4" x14ac:dyDescent="0.3">
      <c r="A110" s="10">
        <v>358</v>
      </c>
      <c r="B110" t="s">
        <v>27</v>
      </c>
      <c r="C110" s="12" t="s">
        <v>27</v>
      </c>
    </row>
    <row r="111" spans="1:4" x14ac:dyDescent="0.3">
      <c r="A111" s="10">
        <v>359</v>
      </c>
      <c r="B111" t="s">
        <v>310</v>
      </c>
      <c r="C111" s="12" t="s">
        <v>310</v>
      </c>
      <c r="D111" t="s">
        <v>311</v>
      </c>
    </row>
    <row r="112" spans="1:4" x14ac:dyDescent="0.3">
      <c r="A112" s="10">
        <v>360</v>
      </c>
      <c r="B112" t="s">
        <v>312</v>
      </c>
      <c r="C112" s="12" t="s">
        <v>312</v>
      </c>
      <c r="D112" t="s">
        <v>311</v>
      </c>
    </row>
    <row r="113" spans="1:5" x14ac:dyDescent="0.3">
      <c r="A113" s="10">
        <v>361</v>
      </c>
      <c r="B113" t="s">
        <v>313</v>
      </c>
      <c r="C113" s="12" t="s">
        <v>313</v>
      </c>
      <c r="D113" t="s">
        <v>314</v>
      </c>
    </row>
    <row r="114" spans="1:5" x14ac:dyDescent="0.3">
      <c r="A114" s="10">
        <v>362</v>
      </c>
      <c r="B114" t="s">
        <v>315</v>
      </c>
      <c r="C114" s="12" t="s">
        <v>315</v>
      </c>
      <c r="D114" t="s">
        <v>314</v>
      </c>
    </row>
    <row r="115" spans="1:5" x14ac:dyDescent="0.3">
      <c r="A115" s="10">
        <v>363</v>
      </c>
      <c r="B115" t="s">
        <v>316</v>
      </c>
      <c r="C115" s="12" t="s">
        <v>316</v>
      </c>
      <c r="D115" t="s">
        <v>314</v>
      </c>
    </row>
    <row r="116" spans="1:5" x14ac:dyDescent="0.3">
      <c r="A116" s="10">
        <v>364</v>
      </c>
      <c r="B116" t="s">
        <v>317</v>
      </c>
      <c r="C116" s="12" t="s">
        <v>317</v>
      </c>
      <c r="D116" t="s">
        <v>202</v>
      </c>
    </row>
    <row r="117" spans="1:5" x14ac:dyDescent="0.3">
      <c r="A117" s="10">
        <v>365</v>
      </c>
      <c r="B117" t="s">
        <v>318</v>
      </c>
      <c r="C117" s="12" t="s">
        <v>318</v>
      </c>
      <c r="D117" t="s">
        <v>202</v>
      </c>
    </row>
    <row r="118" spans="1:5" x14ac:dyDescent="0.3">
      <c r="A118" s="10">
        <v>366</v>
      </c>
      <c r="B118" t="s">
        <v>319</v>
      </c>
      <c r="C118" s="12" t="s">
        <v>319</v>
      </c>
      <c r="D118" t="s">
        <v>202</v>
      </c>
    </row>
    <row r="119" spans="1:5" x14ac:dyDescent="0.3">
      <c r="A119" s="10">
        <v>367</v>
      </c>
      <c r="B119" t="s">
        <v>320</v>
      </c>
      <c r="C119" s="12" t="s">
        <v>320</v>
      </c>
      <c r="D119" t="s">
        <v>202</v>
      </c>
    </row>
    <row r="120" spans="1:5" x14ac:dyDescent="0.3">
      <c r="A120" s="10">
        <v>368</v>
      </c>
      <c r="B120" t="s">
        <v>321</v>
      </c>
      <c r="C120" s="12" t="s">
        <v>321</v>
      </c>
      <c r="D120" t="s">
        <v>322</v>
      </c>
    </row>
    <row r="121" spans="1:5" x14ac:dyDescent="0.3">
      <c r="A121" s="10">
        <v>369</v>
      </c>
      <c r="B121" t="s">
        <v>323</v>
      </c>
      <c r="C121" s="12" t="s">
        <v>323</v>
      </c>
      <c r="D121" t="s">
        <v>202</v>
      </c>
    </row>
    <row r="122" spans="1:5" x14ac:dyDescent="0.3">
      <c r="A122" s="10">
        <v>370</v>
      </c>
      <c r="B122" t="s">
        <v>124</v>
      </c>
      <c r="C122" s="12" t="s">
        <v>124</v>
      </c>
      <c r="D122" t="s">
        <v>301</v>
      </c>
    </row>
    <row r="123" spans="1:5" x14ac:dyDescent="0.3">
      <c r="A123" s="10">
        <v>371</v>
      </c>
      <c r="B123" t="s">
        <v>324</v>
      </c>
      <c r="C123" s="12" t="s">
        <v>324</v>
      </c>
      <c r="D123" t="s">
        <v>202</v>
      </c>
    </row>
    <row r="124" spans="1:5" x14ac:dyDescent="0.3">
      <c r="A124" s="10">
        <v>372</v>
      </c>
      <c r="B124" t="s">
        <v>325</v>
      </c>
      <c r="C124" s="12" t="s">
        <v>325</v>
      </c>
      <c r="D124" t="s">
        <v>202</v>
      </c>
    </row>
    <row r="125" spans="1:5" x14ac:dyDescent="0.3">
      <c r="A125" s="10">
        <v>373</v>
      </c>
      <c r="B125" t="s">
        <v>464</v>
      </c>
      <c r="C125" s="12" t="s">
        <v>464</v>
      </c>
      <c r="D125" t="s">
        <v>202</v>
      </c>
    </row>
    <row r="126" spans="1:5" x14ac:dyDescent="0.3">
      <c r="A126" s="10">
        <v>374</v>
      </c>
      <c r="B126" t="s">
        <v>465</v>
      </c>
      <c r="C126" s="12" t="s">
        <v>465</v>
      </c>
      <c r="D126" t="s">
        <v>202</v>
      </c>
      <c r="E126" t="s">
        <v>466</v>
      </c>
    </row>
    <row r="127" spans="1:5" x14ac:dyDescent="0.3">
      <c r="A127" s="10">
        <v>375</v>
      </c>
      <c r="B127" t="s">
        <v>467</v>
      </c>
      <c r="C127" s="12" t="s">
        <v>467</v>
      </c>
      <c r="D127" t="s">
        <v>202</v>
      </c>
    </row>
    <row r="128" spans="1:5" x14ac:dyDescent="0.3">
      <c r="A128" s="10">
        <v>376</v>
      </c>
      <c r="B128" t="s">
        <v>468</v>
      </c>
      <c r="C128" s="12" t="s">
        <v>468</v>
      </c>
      <c r="D128" t="s">
        <v>202</v>
      </c>
    </row>
    <row r="129" spans="1:4" x14ac:dyDescent="0.3">
      <c r="A129" s="10">
        <v>377</v>
      </c>
      <c r="B129" t="s">
        <v>469</v>
      </c>
      <c r="C129" s="12" t="s">
        <v>469</v>
      </c>
      <c r="D129" t="s">
        <v>202</v>
      </c>
    </row>
    <row r="130" spans="1:4" x14ac:dyDescent="0.3">
      <c r="A130" s="10">
        <v>378</v>
      </c>
      <c r="B130" t="s">
        <v>470</v>
      </c>
      <c r="C130" s="12" t="s">
        <v>470</v>
      </c>
      <c r="D130" t="s">
        <v>202</v>
      </c>
    </row>
    <row r="131" spans="1:4" x14ac:dyDescent="0.3">
      <c r="A131" s="10">
        <v>379</v>
      </c>
      <c r="B131" t="s">
        <v>471</v>
      </c>
      <c r="C131" s="12" t="s">
        <v>471</v>
      </c>
      <c r="D131" t="s">
        <v>202</v>
      </c>
    </row>
    <row r="132" spans="1:4" x14ac:dyDescent="0.3">
      <c r="A132" s="10">
        <v>380</v>
      </c>
      <c r="B132" t="s">
        <v>472</v>
      </c>
      <c r="C132" s="12" t="s">
        <v>472</v>
      </c>
      <c r="D132" t="s">
        <v>202</v>
      </c>
    </row>
    <row r="133" spans="1:4" x14ac:dyDescent="0.3">
      <c r="A133" s="10">
        <v>381</v>
      </c>
      <c r="B133" t="s">
        <v>474</v>
      </c>
      <c r="C133" s="12" t="s">
        <v>474</v>
      </c>
      <c r="D133" t="s">
        <v>202</v>
      </c>
    </row>
    <row r="134" spans="1:4" x14ac:dyDescent="0.3">
      <c r="A134" s="10">
        <v>382</v>
      </c>
      <c r="B134" t="s">
        <v>475</v>
      </c>
      <c r="C134" s="12" t="s">
        <v>475</v>
      </c>
      <c r="D134" t="s">
        <v>202</v>
      </c>
    </row>
  </sheetData>
  <phoneticPr fontId="1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A8CC-3B92-4FAA-BB50-3DF826A1253F}">
  <dimension ref="A1:B88"/>
  <sheetViews>
    <sheetView workbookViewId="0">
      <pane ySplit="1" topLeftCell="A2" activePane="bottomLeft" state="frozen"/>
      <selection pane="bottomLeft" activeCell="E8" sqref="E8"/>
    </sheetView>
  </sheetViews>
  <sheetFormatPr defaultRowHeight="14.4" x14ac:dyDescent="0.3"/>
  <cols>
    <col min="1" max="1" width="13.6640625" bestFit="1" customWidth="1"/>
    <col min="2" max="2" width="24" bestFit="1" customWidth="1"/>
  </cols>
  <sheetData>
    <row r="1" spans="1:2" x14ac:dyDescent="0.3">
      <c r="A1" s="1" t="s">
        <v>326</v>
      </c>
      <c r="B1" s="1" t="s">
        <v>13</v>
      </c>
    </row>
    <row r="2" spans="1:2" x14ac:dyDescent="0.3">
      <c r="A2" s="9">
        <v>0</v>
      </c>
      <c r="B2" s="12" t="s">
        <v>87</v>
      </c>
    </row>
    <row r="3" spans="1:2" x14ac:dyDescent="0.3">
      <c r="A3" s="9">
        <v>201</v>
      </c>
      <c r="B3" s="12" t="s">
        <v>327</v>
      </c>
    </row>
    <row r="4" spans="1:2" x14ac:dyDescent="0.3">
      <c r="A4" s="9">
        <v>202</v>
      </c>
      <c r="B4" s="12" t="s">
        <v>328</v>
      </c>
    </row>
    <row r="5" spans="1:2" x14ac:dyDescent="0.3">
      <c r="A5" s="9">
        <v>203</v>
      </c>
      <c r="B5" s="12" t="s">
        <v>329</v>
      </c>
    </row>
    <row r="6" spans="1:2" x14ac:dyDescent="0.3">
      <c r="A6" s="9">
        <v>204</v>
      </c>
      <c r="B6" s="12" t="s">
        <v>330</v>
      </c>
    </row>
    <row r="7" spans="1:2" x14ac:dyDescent="0.3">
      <c r="A7" s="9">
        <v>205</v>
      </c>
      <c r="B7" s="12" t="s">
        <v>331</v>
      </c>
    </row>
    <row r="8" spans="1:2" x14ac:dyDescent="0.3">
      <c r="A8" s="9">
        <v>206</v>
      </c>
      <c r="B8" s="12" t="s">
        <v>332</v>
      </c>
    </row>
    <row r="9" spans="1:2" x14ac:dyDescent="0.3">
      <c r="A9" s="9">
        <v>207</v>
      </c>
      <c r="B9" s="12" t="s">
        <v>333</v>
      </c>
    </row>
    <row r="10" spans="1:2" x14ac:dyDescent="0.3">
      <c r="A10" s="9">
        <v>208</v>
      </c>
      <c r="B10" s="12" t="s">
        <v>334</v>
      </c>
    </row>
    <row r="11" spans="1:2" x14ac:dyDescent="0.3">
      <c r="A11" s="9">
        <v>209</v>
      </c>
      <c r="B11" s="12" t="s">
        <v>335</v>
      </c>
    </row>
    <row r="12" spans="1:2" x14ac:dyDescent="0.3">
      <c r="A12" s="9">
        <v>210</v>
      </c>
      <c r="B12" s="12" t="s">
        <v>336</v>
      </c>
    </row>
    <row r="13" spans="1:2" x14ac:dyDescent="0.3">
      <c r="A13" s="9">
        <v>211</v>
      </c>
      <c r="B13" s="12" t="s">
        <v>337</v>
      </c>
    </row>
    <row r="14" spans="1:2" x14ac:dyDescent="0.3">
      <c r="A14" s="9">
        <v>212</v>
      </c>
      <c r="B14" s="12" t="s">
        <v>338</v>
      </c>
    </row>
    <row r="15" spans="1:2" x14ac:dyDescent="0.3">
      <c r="A15" s="9">
        <v>213</v>
      </c>
      <c r="B15" s="12" t="s">
        <v>339</v>
      </c>
    </row>
    <row r="16" spans="1:2" x14ac:dyDescent="0.3">
      <c r="A16" s="9">
        <v>214</v>
      </c>
      <c r="B16" s="12" t="s">
        <v>340</v>
      </c>
    </row>
    <row r="17" spans="1:2" x14ac:dyDescent="0.3">
      <c r="A17" s="9">
        <v>215</v>
      </c>
      <c r="B17" s="12" t="s">
        <v>341</v>
      </c>
    </row>
    <row r="18" spans="1:2" x14ac:dyDescent="0.3">
      <c r="A18" s="9">
        <v>216</v>
      </c>
      <c r="B18" s="12" t="s">
        <v>342</v>
      </c>
    </row>
    <row r="19" spans="1:2" x14ac:dyDescent="0.3">
      <c r="A19" s="9">
        <v>217</v>
      </c>
      <c r="B19" s="12" t="s">
        <v>343</v>
      </c>
    </row>
    <row r="20" spans="1:2" x14ac:dyDescent="0.3">
      <c r="A20" s="9">
        <v>218</v>
      </c>
      <c r="B20" s="12" t="s">
        <v>344</v>
      </c>
    </row>
    <row r="21" spans="1:2" x14ac:dyDescent="0.3">
      <c r="A21" s="9">
        <v>219</v>
      </c>
      <c r="B21" s="12" t="s">
        <v>345</v>
      </c>
    </row>
    <row r="22" spans="1:2" x14ac:dyDescent="0.3">
      <c r="A22" s="9">
        <v>220</v>
      </c>
      <c r="B22" s="12" t="s">
        <v>346</v>
      </c>
    </row>
    <row r="23" spans="1:2" x14ac:dyDescent="0.3">
      <c r="A23" s="9">
        <v>221</v>
      </c>
      <c r="B23" s="12" t="s">
        <v>347</v>
      </c>
    </row>
    <row r="24" spans="1:2" x14ac:dyDescent="0.3">
      <c r="A24" s="9">
        <v>222</v>
      </c>
      <c r="B24" s="12" t="s">
        <v>348</v>
      </c>
    </row>
    <row r="25" spans="1:2" x14ac:dyDescent="0.3">
      <c r="A25" s="9">
        <v>223</v>
      </c>
      <c r="B25" s="12" t="s">
        <v>349</v>
      </c>
    </row>
    <row r="26" spans="1:2" x14ac:dyDescent="0.3">
      <c r="A26" s="9">
        <v>224</v>
      </c>
      <c r="B26" s="12" t="s">
        <v>350</v>
      </c>
    </row>
    <row r="27" spans="1:2" x14ac:dyDescent="0.3">
      <c r="A27" s="9">
        <v>225</v>
      </c>
      <c r="B27" s="12" t="s">
        <v>351</v>
      </c>
    </row>
    <row r="28" spans="1:2" x14ac:dyDescent="0.3">
      <c r="A28" s="9">
        <v>226</v>
      </c>
      <c r="B28" s="12" t="s">
        <v>352</v>
      </c>
    </row>
    <row r="29" spans="1:2" x14ac:dyDescent="0.3">
      <c r="A29" s="9">
        <v>227</v>
      </c>
      <c r="B29" s="12" t="s">
        <v>353</v>
      </c>
    </row>
    <row r="30" spans="1:2" x14ac:dyDescent="0.3">
      <c r="A30" s="9">
        <v>228</v>
      </c>
      <c r="B30" s="12" t="s">
        <v>354</v>
      </c>
    </row>
    <row r="31" spans="1:2" x14ac:dyDescent="0.3">
      <c r="A31" s="9">
        <v>229</v>
      </c>
      <c r="B31" s="12" t="s">
        <v>355</v>
      </c>
    </row>
    <row r="32" spans="1:2" x14ac:dyDescent="0.3">
      <c r="A32" s="9">
        <v>230</v>
      </c>
      <c r="B32" s="12" t="s">
        <v>356</v>
      </c>
    </row>
    <row r="33" spans="1:2" x14ac:dyDescent="0.3">
      <c r="A33" s="9">
        <v>231</v>
      </c>
      <c r="B33" s="12" t="s">
        <v>357</v>
      </c>
    </row>
    <row r="34" spans="1:2" x14ac:dyDescent="0.3">
      <c r="A34" s="9">
        <v>232</v>
      </c>
      <c r="B34" s="12" t="s">
        <v>358</v>
      </c>
    </row>
    <row r="35" spans="1:2" x14ac:dyDescent="0.3">
      <c r="A35" s="9">
        <v>233</v>
      </c>
      <c r="B35" s="12" t="s">
        <v>359</v>
      </c>
    </row>
    <row r="36" spans="1:2" x14ac:dyDescent="0.3">
      <c r="A36" s="9">
        <v>234</v>
      </c>
      <c r="B36" s="12" t="s">
        <v>360</v>
      </c>
    </row>
    <row r="37" spans="1:2" x14ac:dyDescent="0.3">
      <c r="A37" s="9">
        <v>235</v>
      </c>
      <c r="B37" s="12" t="s">
        <v>361</v>
      </c>
    </row>
    <row r="38" spans="1:2" x14ac:dyDescent="0.3">
      <c r="A38" s="9">
        <v>236</v>
      </c>
      <c r="B38" s="12" t="s">
        <v>362</v>
      </c>
    </row>
    <row r="39" spans="1:2" x14ac:dyDescent="0.3">
      <c r="A39" s="9">
        <v>237</v>
      </c>
      <c r="B39" s="12" t="s">
        <v>363</v>
      </c>
    </row>
    <row r="40" spans="1:2" x14ac:dyDescent="0.3">
      <c r="A40" s="9">
        <v>238</v>
      </c>
      <c r="B40" s="12" t="s">
        <v>364</v>
      </c>
    </row>
    <row r="41" spans="1:2" x14ac:dyDescent="0.3">
      <c r="A41" s="9">
        <v>239</v>
      </c>
      <c r="B41" s="12" t="s">
        <v>365</v>
      </c>
    </row>
    <row r="42" spans="1:2" x14ac:dyDescent="0.3">
      <c r="A42" s="9">
        <v>240</v>
      </c>
      <c r="B42" s="12" t="s">
        <v>366</v>
      </c>
    </row>
    <row r="43" spans="1:2" x14ac:dyDescent="0.3">
      <c r="A43" s="9">
        <v>241</v>
      </c>
      <c r="B43" s="12" t="s">
        <v>367</v>
      </c>
    </row>
    <row r="44" spans="1:2" x14ac:dyDescent="0.3">
      <c r="A44" s="9">
        <v>242</v>
      </c>
      <c r="B44" s="12" t="s">
        <v>32</v>
      </c>
    </row>
    <row r="45" spans="1:2" x14ac:dyDescent="0.3">
      <c r="A45" s="9">
        <v>243</v>
      </c>
      <c r="B45" s="12" t="s">
        <v>368</v>
      </c>
    </row>
    <row r="46" spans="1:2" x14ac:dyDescent="0.3">
      <c r="A46" s="9">
        <v>244</v>
      </c>
      <c r="B46" s="12" t="s">
        <v>369</v>
      </c>
    </row>
    <row r="47" spans="1:2" x14ac:dyDescent="0.3">
      <c r="A47" s="9">
        <v>245</v>
      </c>
      <c r="B47" s="12" t="s">
        <v>370</v>
      </c>
    </row>
    <row r="48" spans="1:2" x14ac:dyDescent="0.3">
      <c r="A48" s="9">
        <v>246</v>
      </c>
      <c r="B48" s="12" t="s">
        <v>371</v>
      </c>
    </row>
    <row r="49" spans="1:2" x14ac:dyDescent="0.3">
      <c r="A49" s="9">
        <v>247</v>
      </c>
      <c r="B49" s="12" t="s">
        <v>372</v>
      </c>
    </row>
    <row r="50" spans="1:2" x14ac:dyDescent="0.3">
      <c r="A50" s="9">
        <v>248</v>
      </c>
      <c r="B50" s="12" t="s">
        <v>373</v>
      </c>
    </row>
    <row r="51" spans="1:2" x14ac:dyDescent="0.3">
      <c r="A51" s="9">
        <v>249</v>
      </c>
      <c r="B51" s="12" t="s">
        <v>374</v>
      </c>
    </row>
    <row r="52" spans="1:2" x14ac:dyDescent="0.3">
      <c r="A52" s="9">
        <v>250</v>
      </c>
      <c r="B52" s="12" t="s">
        <v>375</v>
      </c>
    </row>
    <row r="53" spans="1:2" x14ac:dyDescent="0.3">
      <c r="A53" s="9">
        <v>251</v>
      </c>
      <c r="B53" s="12" t="s">
        <v>376</v>
      </c>
    </row>
    <row r="54" spans="1:2" x14ac:dyDescent="0.3">
      <c r="A54" s="9">
        <v>252</v>
      </c>
      <c r="B54" s="12" t="s">
        <v>377</v>
      </c>
    </row>
    <row r="55" spans="1:2" x14ac:dyDescent="0.3">
      <c r="A55" s="9">
        <v>253</v>
      </c>
      <c r="B55" s="12" t="s">
        <v>378</v>
      </c>
    </row>
    <row r="56" spans="1:2" x14ac:dyDescent="0.3">
      <c r="A56" s="9">
        <v>254</v>
      </c>
      <c r="B56" s="12" t="s">
        <v>379</v>
      </c>
    </row>
    <row r="57" spans="1:2" x14ac:dyDescent="0.3">
      <c r="A57" s="9">
        <v>255</v>
      </c>
      <c r="B57" s="12" t="s">
        <v>380</v>
      </c>
    </row>
    <row r="58" spans="1:2" x14ac:dyDescent="0.3">
      <c r="A58" s="9">
        <v>256</v>
      </c>
      <c r="B58" s="12" t="s">
        <v>381</v>
      </c>
    </row>
    <row r="59" spans="1:2" x14ac:dyDescent="0.3">
      <c r="A59" s="9">
        <v>257</v>
      </c>
      <c r="B59" s="12" t="s">
        <v>382</v>
      </c>
    </row>
    <row r="60" spans="1:2" x14ac:dyDescent="0.3">
      <c r="A60" s="9">
        <v>258</v>
      </c>
      <c r="B60" s="12" t="s">
        <v>383</v>
      </c>
    </row>
    <row r="61" spans="1:2" x14ac:dyDescent="0.3">
      <c r="A61" s="9">
        <v>259</v>
      </c>
      <c r="B61" s="12" t="s">
        <v>384</v>
      </c>
    </row>
    <row r="62" spans="1:2" x14ac:dyDescent="0.3">
      <c r="A62" s="9">
        <v>260</v>
      </c>
      <c r="B62" s="12" t="s">
        <v>385</v>
      </c>
    </row>
    <row r="63" spans="1:2" x14ac:dyDescent="0.3">
      <c r="A63" s="9">
        <v>261</v>
      </c>
      <c r="B63" s="12" t="s">
        <v>386</v>
      </c>
    </row>
    <row r="64" spans="1:2" x14ac:dyDescent="0.3">
      <c r="A64" s="9">
        <v>700</v>
      </c>
      <c r="B64" s="12" t="s">
        <v>387</v>
      </c>
    </row>
    <row r="65" spans="1:2" x14ac:dyDescent="0.3">
      <c r="A65" s="9">
        <v>263</v>
      </c>
      <c r="B65" s="12" t="s">
        <v>388</v>
      </c>
    </row>
    <row r="66" spans="1:2" x14ac:dyDescent="0.3">
      <c r="A66" s="9">
        <v>264</v>
      </c>
      <c r="B66" s="12" t="s">
        <v>389</v>
      </c>
    </row>
    <row r="67" spans="1:2" x14ac:dyDescent="0.3">
      <c r="A67" s="9">
        <v>265</v>
      </c>
      <c r="B67" s="12" t="s">
        <v>390</v>
      </c>
    </row>
    <row r="68" spans="1:2" x14ac:dyDescent="0.3">
      <c r="A68" s="9">
        <v>266</v>
      </c>
      <c r="B68" s="12" t="s">
        <v>391</v>
      </c>
    </row>
    <row r="69" spans="1:2" x14ac:dyDescent="0.3">
      <c r="A69" s="9">
        <v>267</v>
      </c>
      <c r="B69" s="12" t="s">
        <v>392</v>
      </c>
    </row>
    <row r="70" spans="1:2" x14ac:dyDescent="0.3">
      <c r="A70" s="9">
        <v>268</v>
      </c>
      <c r="B70" s="12" t="s">
        <v>393</v>
      </c>
    </row>
    <row r="71" spans="1:2" x14ac:dyDescent="0.3">
      <c r="A71" s="9">
        <v>269</v>
      </c>
      <c r="B71" s="12" t="s">
        <v>394</v>
      </c>
    </row>
    <row r="72" spans="1:2" x14ac:dyDescent="0.3">
      <c r="A72" s="9">
        <v>270</v>
      </c>
      <c r="B72" s="12" t="s">
        <v>395</v>
      </c>
    </row>
    <row r="73" spans="1:2" x14ac:dyDescent="0.3">
      <c r="A73" s="9">
        <v>271</v>
      </c>
      <c r="B73" s="12" t="s">
        <v>396</v>
      </c>
    </row>
    <row r="74" spans="1:2" x14ac:dyDescent="0.3">
      <c r="A74" s="9">
        <v>272</v>
      </c>
      <c r="B74" s="12" t="s">
        <v>47</v>
      </c>
    </row>
    <row r="75" spans="1:2" x14ac:dyDescent="0.3">
      <c r="A75" s="9">
        <v>273</v>
      </c>
      <c r="B75" s="12" t="s">
        <v>118</v>
      </c>
    </row>
    <row r="76" spans="1:2" x14ac:dyDescent="0.3">
      <c r="A76" s="9">
        <v>274</v>
      </c>
      <c r="B76" s="12" t="s">
        <v>397</v>
      </c>
    </row>
    <row r="77" spans="1:2" x14ac:dyDescent="0.3">
      <c r="A77" s="9">
        <v>275</v>
      </c>
      <c r="B77" s="12" t="s">
        <v>32</v>
      </c>
    </row>
    <row r="78" spans="1:2" x14ac:dyDescent="0.3">
      <c r="A78" s="9">
        <v>276</v>
      </c>
      <c r="B78" s="12" t="s">
        <v>398</v>
      </c>
    </row>
    <row r="79" spans="1:2" x14ac:dyDescent="0.3">
      <c r="A79" s="9">
        <v>277</v>
      </c>
      <c r="B79" s="12" t="s">
        <v>399</v>
      </c>
    </row>
    <row r="80" spans="1:2" x14ac:dyDescent="0.3">
      <c r="A80" s="9">
        <v>278</v>
      </c>
      <c r="B80" s="12" t="s">
        <v>41</v>
      </c>
    </row>
    <row r="81" spans="1:2" x14ac:dyDescent="0.3">
      <c r="A81" s="9">
        <v>279</v>
      </c>
      <c r="B81" s="12" t="s">
        <v>400</v>
      </c>
    </row>
    <row r="82" spans="1:2" x14ac:dyDescent="0.3">
      <c r="A82" s="9">
        <v>280</v>
      </c>
      <c r="B82" s="12" t="s">
        <v>401</v>
      </c>
    </row>
    <row r="83" spans="1:2" x14ac:dyDescent="0.3">
      <c r="A83" s="9">
        <v>281</v>
      </c>
      <c r="B83" s="12" t="s">
        <v>402</v>
      </c>
    </row>
    <row r="84" spans="1:2" x14ac:dyDescent="0.3">
      <c r="A84" s="9">
        <v>282</v>
      </c>
      <c r="B84" s="12" t="s">
        <v>54</v>
      </c>
    </row>
    <row r="85" spans="1:2" x14ac:dyDescent="0.3">
      <c r="A85" s="9">
        <v>283</v>
      </c>
      <c r="B85" s="12" t="s">
        <v>60</v>
      </c>
    </row>
    <row r="86" spans="1:2" x14ac:dyDescent="0.3">
      <c r="A86" s="9">
        <v>284</v>
      </c>
      <c r="B86" s="12" t="s">
        <v>403</v>
      </c>
    </row>
    <row r="87" spans="1:2" x14ac:dyDescent="0.3">
      <c r="A87" s="9">
        <v>658</v>
      </c>
      <c r="B87" s="12" t="s">
        <v>404</v>
      </c>
    </row>
    <row r="88" spans="1:2" x14ac:dyDescent="0.3">
      <c r="A88" s="9">
        <v>285</v>
      </c>
      <c r="B88" s="12" t="s">
        <v>83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DD2D-3727-44DD-9A46-B0CF3080A666}">
  <dimension ref="A1:B48"/>
  <sheetViews>
    <sheetView workbookViewId="0">
      <selection activeCell="F11" sqref="F11"/>
    </sheetView>
  </sheetViews>
  <sheetFormatPr defaultRowHeight="14.4" x14ac:dyDescent="0.3"/>
  <cols>
    <col min="1" max="1" width="14.6640625" bestFit="1" customWidth="1"/>
    <col min="2" max="2" width="21.33203125" bestFit="1" customWidth="1"/>
    <col min="3" max="3" width="12.6640625" bestFit="1" customWidth="1"/>
  </cols>
  <sheetData>
    <row r="1" spans="1:2" x14ac:dyDescent="0.3">
      <c r="A1" s="1" t="s">
        <v>405</v>
      </c>
      <c r="B1" s="1" t="s">
        <v>406</v>
      </c>
    </row>
    <row r="2" spans="1:2" x14ac:dyDescent="0.3">
      <c r="A2">
        <v>1318</v>
      </c>
      <c r="B2" s="12" t="s">
        <v>327</v>
      </c>
    </row>
    <row r="3" spans="1:2" x14ac:dyDescent="0.3">
      <c r="A3">
        <v>1328</v>
      </c>
      <c r="B3" s="12" t="s">
        <v>328</v>
      </c>
    </row>
    <row r="4" spans="1:2" x14ac:dyDescent="0.3">
      <c r="A4">
        <v>1337</v>
      </c>
      <c r="B4" s="12" t="s">
        <v>407</v>
      </c>
    </row>
    <row r="5" spans="1:2" x14ac:dyDescent="0.3">
      <c r="A5">
        <v>1345</v>
      </c>
      <c r="B5" s="12" t="s">
        <v>408</v>
      </c>
    </row>
    <row r="6" spans="1:2" x14ac:dyDescent="0.3">
      <c r="A6">
        <v>1346</v>
      </c>
      <c r="B6" s="12" t="s">
        <v>336</v>
      </c>
    </row>
    <row r="7" spans="1:2" x14ac:dyDescent="0.3">
      <c r="A7">
        <v>1347</v>
      </c>
      <c r="B7" s="12" t="s">
        <v>337</v>
      </c>
    </row>
    <row r="8" spans="1:2" x14ac:dyDescent="0.3">
      <c r="A8">
        <v>1348</v>
      </c>
      <c r="B8" s="12" t="s">
        <v>409</v>
      </c>
    </row>
    <row r="9" spans="1:2" x14ac:dyDescent="0.3">
      <c r="A9">
        <v>1349</v>
      </c>
      <c r="B9" s="12" t="s">
        <v>410</v>
      </c>
    </row>
    <row r="10" spans="1:2" x14ac:dyDescent="0.3">
      <c r="A10">
        <v>1350</v>
      </c>
      <c r="B10" s="12" t="s">
        <v>411</v>
      </c>
    </row>
    <row r="11" spans="1:2" x14ac:dyDescent="0.3">
      <c r="A11">
        <v>1351</v>
      </c>
      <c r="B11" s="12" t="s">
        <v>412</v>
      </c>
    </row>
    <row r="12" spans="1:2" x14ac:dyDescent="0.3">
      <c r="A12">
        <v>1352</v>
      </c>
      <c r="B12" s="12" t="s">
        <v>413</v>
      </c>
    </row>
    <row r="13" spans="1:2" x14ac:dyDescent="0.3">
      <c r="A13">
        <v>1353</v>
      </c>
      <c r="B13" s="12" t="s">
        <v>414</v>
      </c>
    </row>
    <row r="14" spans="1:2" x14ac:dyDescent="0.3">
      <c r="A14">
        <v>1354</v>
      </c>
      <c r="B14" s="12" t="s">
        <v>415</v>
      </c>
    </row>
    <row r="15" spans="1:2" x14ac:dyDescent="0.3">
      <c r="A15">
        <v>1355</v>
      </c>
      <c r="B15" s="12" t="s">
        <v>416</v>
      </c>
    </row>
    <row r="16" spans="1:2" x14ac:dyDescent="0.3">
      <c r="A16">
        <v>1356</v>
      </c>
      <c r="B16" s="12" t="s">
        <v>417</v>
      </c>
    </row>
    <row r="17" spans="1:2" x14ac:dyDescent="0.3">
      <c r="A17">
        <v>1357</v>
      </c>
      <c r="B17" s="12" t="s">
        <v>418</v>
      </c>
    </row>
    <row r="18" spans="1:2" x14ac:dyDescent="0.3">
      <c r="A18">
        <v>1358</v>
      </c>
      <c r="B18" s="12" t="s">
        <v>419</v>
      </c>
    </row>
    <row r="19" spans="1:2" x14ac:dyDescent="0.3">
      <c r="A19">
        <v>1359</v>
      </c>
      <c r="B19" s="12" t="s">
        <v>420</v>
      </c>
    </row>
    <row r="20" spans="1:2" x14ac:dyDescent="0.3">
      <c r="A20">
        <v>1360</v>
      </c>
      <c r="B20" s="12" t="s">
        <v>421</v>
      </c>
    </row>
    <row r="21" spans="1:2" x14ac:dyDescent="0.3">
      <c r="A21">
        <v>1361</v>
      </c>
      <c r="B21" s="12" t="s">
        <v>422</v>
      </c>
    </row>
    <row r="22" spans="1:2" x14ac:dyDescent="0.3">
      <c r="A22">
        <v>1362</v>
      </c>
      <c r="B22" s="12" t="s">
        <v>423</v>
      </c>
    </row>
    <row r="23" spans="1:2" x14ac:dyDescent="0.3">
      <c r="A23">
        <v>1363</v>
      </c>
      <c r="B23" s="12" t="s">
        <v>424</v>
      </c>
    </row>
    <row r="24" spans="1:2" x14ac:dyDescent="0.3">
      <c r="A24">
        <v>1364</v>
      </c>
      <c r="B24" s="12" t="s">
        <v>425</v>
      </c>
    </row>
    <row r="25" spans="1:2" x14ac:dyDescent="0.3">
      <c r="A25">
        <v>1365</v>
      </c>
      <c r="B25" s="12" t="s">
        <v>426</v>
      </c>
    </row>
    <row r="26" spans="1:2" x14ac:dyDescent="0.3">
      <c r="A26">
        <v>1366</v>
      </c>
      <c r="B26" s="12" t="s">
        <v>427</v>
      </c>
    </row>
    <row r="27" spans="1:2" x14ac:dyDescent="0.3">
      <c r="A27">
        <v>1367</v>
      </c>
      <c r="B27" s="12" t="s">
        <v>428</v>
      </c>
    </row>
    <row r="28" spans="1:2" x14ac:dyDescent="0.3">
      <c r="A28">
        <v>1368</v>
      </c>
      <c r="B28" s="12" t="s">
        <v>429</v>
      </c>
    </row>
    <row r="29" spans="1:2" x14ac:dyDescent="0.3">
      <c r="A29">
        <v>1369</v>
      </c>
      <c r="B29" s="12" t="s">
        <v>430</v>
      </c>
    </row>
    <row r="30" spans="1:2" x14ac:dyDescent="0.3">
      <c r="A30">
        <v>1370</v>
      </c>
      <c r="B30" s="12" t="s">
        <v>431</v>
      </c>
    </row>
    <row r="31" spans="1:2" x14ac:dyDescent="0.3">
      <c r="A31">
        <v>1371</v>
      </c>
      <c r="B31" s="12" t="s">
        <v>432</v>
      </c>
    </row>
    <row r="32" spans="1:2" x14ac:dyDescent="0.3">
      <c r="A32">
        <v>1372</v>
      </c>
      <c r="B32" s="12" t="s">
        <v>419</v>
      </c>
    </row>
    <row r="33" spans="1:2" x14ac:dyDescent="0.3">
      <c r="A33">
        <v>1373</v>
      </c>
      <c r="B33" s="12" t="s">
        <v>433</v>
      </c>
    </row>
    <row r="34" spans="1:2" x14ac:dyDescent="0.3">
      <c r="A34">
        <v>834</v>
      </c>
      <c r="B34" s="12" t="s">
        <v>33</v>
      </c>
    </row>
    <row r="35" spans="1:2" x14ac:dyDescent="0.3">
      <c r="A35">
        <v>373</v>
      </c>
      <c r="B35" s="12" t="s">
        <v>434</v>
      </c>
    </row>
    <row r="36" spans="1:2" x14ac:dyDescent="0.3">
      <c r="A36">
        <v>1338</v>
      </c>
      <c r="B36" s="12" t="s">
        <v>435</v>
      </c>
    </row>
    <row r="37" spans="1:2" x14ac:dyDescent="0.3">
      <c r="A37">
        <v>1377</v>
      </c>
      <c r="B37" s="12" t="s">
        <v>87</v>
      </c>
    </row>
    <row r="38" spans="1:2" x14ac:dyDescent="0.3">
      <c r="A38">
        <v>1378</v>
      </c>
      <c r="B38" s="12" t="s">
        <v>436</v>
      </c>
    </row>
    <row r="39" spans="1:2" x14ac:dyDescent="0.3">
      <c r="A39">
        <v>658</v>
      </c>
      <c r="B39" s="12" t="s">
        <v>404</v>
      </c>
    </row>
    <row r="40" spans="1:2" x14ac:dyDescent="0.3">
      <c r="A40">
        <v>991</v>
      </c>
      <c r="B40" s="12" t="s">
        <v>437</v>
      </c>
    </row>
    <row r="41" spans="1:2" x14ac:dyDescent="0.3">
      <c r="A41">
        <v>823</v>
      </c>
      <c r="B41" s="12" t="s">
        <v>438</v>
      </c>
    </row>
    <row r="42" spans="1:2" x14ac:dyDescent="0.3">
      <c r="A42">
        <v>1748</v>
      </c>
      <c r="B42" s="12" t="s">
        <v>439</v>
      </c>
    </row>
    <row r="43" spans="1:2" x14ac:dyDescent="0.3">
      <c r="A43">
        <v>1747</v>
      </c>
      <c r="B43" s="12" t="s">
        <v>48</v>
      </c>
    </row>
    <row r="44" spans="1:2" x14ac:dyDescent="0.3">
      <c r="A44">
        <v>1741</v>
      </c>
      <c r="B44" s="12" t="s">
        <v>119</v>
      </c>
    </row>
    <row r="45" spans="1:2" x14ac:dyDescent="0.3">
      <c r="A45">
        <v>1749</v>
      </c>
      <c r="B45" s="12" t="s">
        <v>55</v>
      </c>
    </row>
    <row r="46" spans="1:2" x14ac:dyDescent="0.3">
      <c r="A46">
        <v>343</v>
      </c>
      <c r="B46" s="12" t="s">
        <v>78</v>
      </c>
    </row>
    <row r="47" spans="1:2" x14ac:dyDescent="0.3">
      <c r="A47">
        <v>1750</v>
      </c>
      <c r="B47" s="12" t="s">
        <v>42</v>
      </c>
    </row>
    <row r="48" spans="1:2" x14ac:dyDescent="0.3">
      <c r="A48">
        <v>700</v>
      </c>
      <c r="B48" s="12" t="s">
        <v>387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E36D-4E9D-4125-8CE1-C23D54775111}">
  <dimension ref="A1:D5"/>
  <sheetViews>
    <sheetView workbookViewId="0">
      <pane ySplit="1" topLeftCell="A2" activePane="bottomLeft" state="frozen"/>
      <selection pane="bottomLeft" activeCell="D2" sqref="D2"/>
    </sheetView>
  </sheetViews>
  <sheetFormatPr defaultRowHeight="14.4" x14ac:dyDescent="0.3"/>
  <cols>
    <col min="1" max="1" width="11.44140625" bestFit="1" customWidth="1"/>
    <col min="2" max="2" width="11" bestFit="1" customWidth="1"/>
    <col min="4" max="4" width="51.6640625" customWidth="1"/>
  </cols>
  <sheetData>
    <row r="1" spans="1:4" x14ac:dyDescent="0.3">
      <c r="A1" s="1" t="s">
        <v>0</v>
      </c>
      <c r="B1" s="1" t="s">
        <v>17</v>
      </c>
    </row>
    <row r="2" spans="1:4" x14ac:dyDescent="0.3">
      <c r="A2">
        <v>1</v>
      </c>
      <c r="B2" s="9" t="s">
        <v>35</v>
      </c>
      <c r="D2" t="s">
        <v>440</v>
      </c>
    </row>
    <row r="3" spans="1:4" x14ac:dyDescent="0.3">
      <c r="A3">
        <v>2</v>
      </c>
      <c r="B3" s="9" t="s">
        <v>441</v>
      </c>
    </row>
    <row r="4" spans="1:4" x14ac:dyDescent="0.3">
      <c r="A4">
        <v>3</v>
      </c>
      <c r="B4" s="9" t="s">
        <v>442</v>
      </c>
    </row>
    <row r="5" spans="1:4" x14ac:dyDescent="0.3">
      <c r="A5">
        <v>4</v>
      </c>
      <c r="B5" s="9" t="s">
        <v>443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225-7B83-4341-B62F-97AE3F910C72}">
  <dimension ref="A1:D7"/>
  <sheetViews>
    <sheetView zoomScaleNormal="100" workbookViewId="0">
      <pane ySplit="1" topLeftCell="A2" activePane="bottomLeft" state="frozen"/>
      <selection pane="bottomLeft" activeCell="C5" sqref="C5"/>
    </sheetView>
  </sheetViews>
  <sheetFormatPr defaultRowHeight="14.4" x14ac:dyDescent="0.3"/>
  <cols>
    <col min="1" max="1" width="10.44140625" customWidth="1"/>
    <col min="2" max="2" width="36.5546875" style="2" customWidth="1"/>
    <col min="3" max="3" width="88.109375" customWidth="1"/>
    <col min="4" max="4" width="59.5546875" customWidth="1"/>
  </cols>
  <sheetData>
    <row r="1" spans="1:4" x14ac:dyDescent="0.3">
      <c r="A1" s="1" t="s">
        <v>0</v>
      </c>
      <c r="B1" s="1" t="s">
        <v>445</v>
      </c>
      <c r="C1" s="3" t="s">
        <v>446</v>
      </c>
      <c r="D1" s="4" t="s">
        <v>444</v>
      </c>
    </row>
    <row r="2" spans="1:4" ht="196.2" customHeight="1" x14ac:dyDescent="0.3">
      <c r="A2" s="7">
        <v>1</v>
      </c>
      <c r="B2" s="6" t="s">
        <v>447</v>
      </c>
      <c r="C2" s="8" t="s">
        <v>448</v>
      </c>
      <c r="D2" s="5" t="s">
        <v>449</v>
      </c>
    </row>
    <row r="3" spans="1:4" ht="122.4" customHeight="1" x14ac:dyDescent="0.3">
      <c r="A3" s="23">
        <v>2</v>
      </c>
      <c r="B3" s="6" t="s">
        <v>450</v>
      </c>
      <c r="C3" s="24" t="s">
        <v>451</v>
      </c>
      <c r="D3" s="5" t="s">
        <v>452</v>
      </c>
    </row>
    <row r="4" spans="1:4" ht="140.4" customHeight="1" x14ac:dyDescent="0.3">
      <c r="A4" s="23">
        <v>3</v>
      </c>
      <c r="B4" s="6" t="s">
        <v>453</v>
      </c>
      <c r="C4" s="24" t="s">
        <v>454</v>
      </c>
      <c r="D4" s="5" t="s">
        <v>455</v>
      </c>
    </row>
    <row r="5" spans="1:4" ht="126.6" customHeight="1" x14ac:dyDescent="0.3">
      <c r="A5" s="23">
        <v>4</v>
      </c>
      <c r="B5" s="6" t="s">
        <v>456</v>
      </c>
      <c r="C5" s="24" t="s">
        <v>451</v>
      </c>
      <c r="D5" s="5" t="s">
        <v>457</v>
      </c>
    </row>
    <row r="6" spans="1:4" ht="187.2" x14ac:dyDescent="0.3">
      <c r="A6" s="23">
        <v>5</v>
      </c>
      <c r="B6" s="6" t="s">
        <v>458</v>
      </c>
      <c r="C6" s="24" t="s">
        <v>459</v>
      </c>
      <c r="D6" s="26" t="s">
        <v>460</v>
      </c>
    </row>
    <row r="7" spans="1:4" ht="144" x14ac:dyDescent="0.3">
      <c r="A7" s="23">
        <v>6</v>
      </c>
      <c r="B7" s="41" t="s">
        <v>461</v>
      </c>
      <c r="C7" s="24" t="s">
        <v>462</v>
      </c>
      <c r="D7" s="26" t="s">
        <v>463</v>
      </c>
    </row>
  </sheetData>
  <phoneticPr fontId="19"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d226c47-cd18-4964-9161-6ccb92249125">
      <Terms xmlns="http://schemas.microsoft.com/office/infopath/2007/PartnerControls"/>
    </lcf76f155ced4ddcb4097134ff3c332f>
    <_x041f__x0440__x0438__x043c__x0435__x0447__x0430__x043d__x0438__x044f_ xmlns="9d226c47-cd18-4964-9161-6ccb92249125">Версия шаблона спецификации: rev.04 v01
Версия ETL процессора: rev.04 v01</_x041f__x0440__x0438__x043c__x0435__x0447__x0430__x043d__x0438__x044f_>
    <TaxCatchAll xmlns="00626a45-2e8b-44e2-b2b6-fb30aea60018" xsi:nil="true"/>
  </documentManagement>
</p:properties>
</file>

<file path=customXml/item2.xml>��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Документ" ma:contentTypeID="0x01010007D84D672F2E7C4DA6F6F01E8FEF9773" ma:contentTypeVersion="13" ma:contentTypeDescription="Создание документа." ma:contentTypeScope="" ma:versionID="f6dda1c99d74023e3a111e79bf30b7c9">
  <xsd:schema xmlns:xsd="http://www.w3.org/2001/XMLSchema" xmlns:xs="http://www.w3.org/2001/XMLSchema" xmlns:p="http://schemas.microsoft.com/office/2006/metadata/properties" xmlns:ns2="9d226c47-cd18-4964-9161-6ccb92249125" xmlns:ns3="00626a45-2e8b-44e2-b2b6-fb30aea60018" targetNamespace="http://schemas.microsoft.com/office/2006/metadata/properties" ma:root="true" ma:fieldsID="a59be56e0ac557e79a5799f6a1480222" ns2:_="" ns3:_="">
    <xsd:import namespace="9d226c47-cd18-4964-9161-6ccb92249125"/>
    <xsd:import namespace="00626a45-2e8b-44e2-b2b6-fb30aea600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_x041f__x0440__x0438__x043c__x0435__x0447__x0430__x043d__x0438__x044f_"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c47-cd18-4964-9161-6ccb92249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x041f__x0440__x0438__x043c__x0435__x0447__x0430__x043d__x0438__x044f_" ma:index="15" nillable="true" ma:displayName="Примечания" ma:format="Dropdown" ma:internalName="_x041f__x0440__x0438__x043c__x0435__x0447__x0430__x043d__x0438__x044f_">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4894c539-037d-4952-9f74-6cd15d93af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26a45-2e8b-44e2-b2b6-fb30aea60018" elementFormDefault="qualified">
    <xsd:import namespace="http://schemas.microsoft.com/office/2006/documentManagement/types"/>
    <xsd:import namespace="http://schemas.microsoft.com/office/infopath/2007/PartnerControls"/>
    <xsd:element name="SharedWithUsers" ma:index="16"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Совместно с подробностями" ma:internalName="SharedWithDetails" ma:readOnly="true">
      <xsd:simpleType>
        <xsd:restriction base="dms:Note">
          <xsd:maxLength value="255"/>
        </xsd:restriction>
      </xsd:simpleType>
    </xsd:element>
    <xsd:element name="TaxCatchAll" ma:index="20" nillable="true" ma:displayName="Taxonomy Catch All Column" ma:hidden="true" ma:list="{2b58a218-790f-4d1a-8e96-ee40b99efd83}" ma:internalName="TaxCatchAll" ma:showField="CatchAllData" ma:web="00626a45-2e8b-44e2-b2b6-fb30aea60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mso-contentType ?>
<FormTemplates xmlns="http://schemas.microsoft.com/sharepoint/v3/contenttype/forms">
  <Display>DocumentLibraryForm</Display>
  <Edit>DocumentLibraryForm</Edit>
  <New>DocumentLibraryForm</New>
</FormTemplates>
</file>

<file path=customXml/item18.xml>��
</file>

<file path=customXml/item19.xml>��
</file>

<file path=customXml/item20.xml>��
</file>

<file path=customXml/item21.xml>��
</file>

<file path=customXml/item22.xml>��
</file>

<file path=customXml/item23.xml>��
</file>

<file path=customXml/item24.xml>��!C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=5G=0O B>G:0>=5G=0O B>G:0
</file>

<file path=customXml/item25.xml>��
</file>

<file path=customXml/itemProps1.xml><?xml version="1.0" encoding="utf-8"?>
<ds:datastoreItem xmlns:ds="http://schemas.openxmlformats.org/officeDocument/2006/customXml" ds:itemID="{4F428D2F-958C-4F90-BAE5-DE993D97C453}">
  <ds:schemaRefs>
    <ds:schemaRef ds:uri="http://schemas.microsoft.com/office/2006/metadata/properties"/>
    <ds:schemaRef ds:uri="http://schemas.openxmlformats.org/package/2006/metadata/core-properties"/>
    <ds:schemaRef ds:uri="http://purl.org/dc/dcmitype/"/>
    <ds:schemaRef ds:uri="http://purl.org/dc/terms/"/>
    <ds:schemaRef ds:uri="http://purl.org/dc/elements/1.1/"/>
    <ds:schemaRef ds:uri="http://schemas.microsoft.com/office/2006/documentManagement/types"/>
    <ds:schemaRef ds:uri="http://www.w3.org/XML/1998/namespace"/>
    <ds:schemaRef ds:uri="http://schemas.microsoft.com/office/infopath/2007/PartnerControls"/>
    <ds:schemaRef ds:uri="00626a45-2e8b-44e2-b2b6-fb30aea60018"/>
    <ds:schemaRef ds:uri="9d226c47-cd18-4964-9161-6ccb92249125"/>
  </ds:schemaRefs>
</ds:datastoreItem>
</file>

<file path=customXml/itemProps2.xml><?xml version="1.0" encoding="utf-8"?>
<ds:datastoreItem xmlns:ds="http://schemas.openxmlformats.org/officeDocument/2006/customXml" ds:itemID="{1227D4DB-7E94-4BAD-BCFC-DC0425447207}">
  <ds:schemaRefs>
    <ds:schemaRef ds:uri="http://gemini/pivotcustomization/TableXML_TabEmployeeList"/>
  </ds:schemaRefs>
</ds:datastoreItem>
</file>

<file path=customXml/itemProps3.xml><?xml version="1.0" encoding="utf-8"?>
<ds:datastoreItem xmlns:ds="http://schemas.openxmlformats.org/officeDocument/2006/customXml" ds:itemID="{BEFD5417-6C9B-4484-B9FA-AD6C08857211}">
  <ds:schemaRefs>
    <ds:schemaRef ds:uri="http://gemini/pivotcustomization/MeasureGridState"/>
  </ds:schemaRefs>
</ds:datastoreItem>
</file>

<file path=customXml/itemProps4.xml><?xml version="1.0" encoding="utf-8"?>
<ds:datastoreItem xmlns:ds="http://schemas.openxmlformats.org/officeDocument/2006/customXml" ds:itemID="{05CC793E-835C-4C69-85A1-4B17AEF3B23A}">
  <ds:schemaRefs>
    <ds:schemaRef ds:uri="http://gemini/pivotcustomization/ClientWindowXML"/>
  </ds:schemaRefs>
</ds:datastoreItem>
</file>

<file path=customXml/itemProps5.xml><?xml version="1.0" encoding="utf-8"?>
<ds:datastoreItem xmlns:ds="http://schemas.openxmlformats.org/officeDocument/2006/customXml" ds:itemID="{76690773-6F00-477C-A914-3ED7D15F6F95}">
  <ds:schemaRefs>
    <ds:schemaRef ds:uri="http://gemini/pivotcustomization/PowerPivotVersion"/>
  </ds:schemaRefs>
</ds:datastoreItem>
</file>

<file path=customXml/itemProps6.xml><?xml version="1.0" encoding="utf-8"?>
<ds:datastoreItem xmlns:ds="http://schemas.openxmlformats.org/officeDocument/2006/customXml" ds:itemID="{74A0FFB9-2937-4E34-8B04-38B119617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26c47-cd18-4964-9161-6ccb92249125"/>
    <ds:schemaRef ds:uri="00626a45-2e8b-44e2-b2b6-fb30aea60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2E2374CD-0C5A-429C-B090-58ED1E60F259}">
  <ds:schemaRefs>
    <ds:schemaRef ds:uri="http://gemini/pivotcustomization/TableWidget"/>
  </ds:schemaRefs>
</ds:datastoreItem>
</file>

<file path=customXml/itemProps8.xml><?xml version="1.0" encoding="utf-8"?>
<ds:datastoreItem xmlns:ds="http://schemas.openxmlformats.org/officeDocument/2006/customXml" ds:itemID="{CCD3C4FF-65BF-403E-94C5-A7CC9DB96C19}">
  <ds:schemaRefs>
    <ds:schemaRef ds:uri="http://gemini/pivotcustomization/TableOrder"/>
  </ds:schemaRefs>
</ds:datastoreItem>
</file>

<file path=customXml/itemProps9.xml><?xml version="1.0" encoding="utf-8"?>
<ds:datastoreItem xmlns:ds="http://schemas.openxmlformats.org/officeDocument/2006/customXml" ds:itemID="{F3A1402B-BE07-46A2-BAA7-9AC352A3FA91}">
  <ds:schemaRefs>
    <ds:schemaRef ds:uri="http://gemini/pivotcustomization/TableXML_TabSpecificationWork_1"/>
  </ds:schemaRefs>
</ds:datastoreItem>
</file>

<file path=customXml/itemProps10.xml><?xml version="1.0" encoding="utf-8"?>
<ds:datastoreItem xmlns:ds="http://schemas.openxmlformats.org/officeDocument/2006/customXml" ds:itemID="{690A8823-0FA6-4C6D-8530-3313241E28BF}">
  <ds:schemaRefs>
    <ds:schemaRef ds:uri="http://gemini/pivotcustomization/RelationshipAutoDetectionEnabled"/>
  </ds:schemaRefs>
</ds:datastoreItem>
</file>

<file path=customXml/itemProps11.xml><?xml version="1.0" encoding="utf-8"?>
<ds:datastoreItem xmlns:ds="http://schemas.openxmlformats.org/officeDocument/2006/customXml" ds:itemID="{22398727-A402-4C12-A809-6661EE9DF75C}">
  <ds:schemaRefs>
    <ds:schemaRef ds:uri="http://gemini/pivotcustomization/ShowImplicitMeasures"/>
  </ds:schemaRefs>
</ds:datastoreItem>
</file>

<file path=customXml/itemProps12.xml><?xml version="1.0" encoding="utf-8"?>
<ds:datastoreItem xmlns:ds="http://schemas.openxmlformats.org/officeDocument/2006/customXml" ds:itemID="{620C677B-6476-4AB2-82D8-06CF3B1D2316}">
  <ds:schemaRefs>
    <ds:schemaRef ds:uri="http://gemini/pivotcustomization/ShowHidden"/>
  </ds:schemaRefs>
</ds:datastoreItem>
</file>

<file path=customXml/itemProps13.xml><?xml version="1.0" encoding="utf-8"?>
<ds:datastoreItem xmlns:ds="http://schemas.openxmlformats.org/officeDocument/2006/customXml" ds:itemID="{27164862-B4D0-42ED-B65B-7BFA235BB597}">
  <ds:schemaRefs>
    <ds:schemaRef ds:uri="http://gemini/pivotcustomization/TableXML_TabSpecificationWork_2"/>
  </ds:schemaRefs>
</ds:datastoreItem>
</file>

<file path=customXml/itemProps14.xml><?xml version="1.0" encoding="utf-8"?>
<ds:datastoreItem xmlns:ds="http://schemas.openxmlformats.org/officeDocument/2006/customXml" ds:itemID="{E7211B9E-D327-4E0E-8C5C-49BE9214F9B9}">
  <ds:schemaRefs>
    <ds:schemaRef ds:uri="http://gemini/pivotcustomization/TableXML_TabDepartamentMAS"/>
  </ds:schemaRefs>
</ds:datastoreItem>
</file>

<file path=customXml/itemProps15.xml><?xml version="1.0" encoding="utf-8"?>
<ds:datastoreItem xmlns:ds="http://schemas.openxmlformats.org/officeDocument/2006/customXml" ds:itemID="{E5D20989-897E-43AF-BCD1-629124E8DE46}">
  <ds:schemaRefs>
    <ds:schemaRef ds:uri="http://gemini/pivotcustomization/TableXML_TabDepartament"/>
  </ds:schemaRefs>
</ds:datastoreItem>
</file>

<file path=customXml/itemProps16.xml><?xml version="1.0" encoding="utf-8"?>
<ds:datastoreItem xmlns:ds="http://schemas.openxmlformats.org/officeDocument/2006/customXml" ds:itemID="{35062C89-A1C6-4B8A-B128-5C9C2944C808}">
  <ds:schemaRefs>
    <ds:schemaRef ds:uri="http://gemini/pivotcustomization/TableXML_TabPost"/>
  </ds:schemaRefs>
</ds:datastoreItem>
</file>

<file path=customXml/itemProps17.xml><?xml version="1.0" encoding="utf-8"?>
<ds:datastoreItem xmlns:ds="http://schemas.openxmlformats.org/officeDocument/2006/customXml" ds:itemID="{CE7E273D-A254-40CF-AC3C-56F5D63719EA}">
  <ds:schemaRefs>
    <ds:schemaRef ds:uri="http://schemas.microsoft.com/sharepoint/v3/contenttype/forms"/>
  </ds:schemaRefs>
</ds:datastoreItem>
</file>

<file path=customXml/itemProps18.xml><?xml version="1.0" encoding="utf-8"?>
<ds:datastoreItem xmlns:ds="http://schemas.openxmlformats.org/officeDocument/2006/customXml" ds:itemID="{51580B3B-1C2D-4B17-A644-F5A72DFBE2C9}">
  <ds:schemaRefs>
    <ds:schemaRef ds:uri="http://gemini/pivotcustomization/LinkedTableUpdateMode"/>
  </ds:schemaRefs>
</ds:datastoreItem>
</file>

<file path=customXml/itemProps19.xml><?xml version="1.0" encoding="utf-8"?>
<ds:datastoreItem xmlns:ds="http://schemas.openxmlformats.org/officeDocument/2006/customXml" ds:itemID="{72719360-00E5-4AA6-B91A-9C5D05D2BEE1}">
  <ds:schemaRefs>
    <ds:schemaRef ds:uri="http://gemini/pivotcustomization/FormulaBarState"/>
  </ds:schemaRefs>
</ds:datastoreItem>
</file>

<file path=customXml/itemProps20.xml><?xml version="1.0" encoding="utf-8"?>
<ds:datastoreItem xmlns:ds="http://schemas.openxmlformats.org/officeDocument/2006/customXml" ds:itemID="{F59D988E-CCBF-4B04-B557-F52EF1998916}">
  <ds:schemaRefs>
    <ds:schemaRef ds:uri="http://gemini/pivotcustomization/IsSandboxEmbedded"/>
  </ds:schemaRefs>
</ds:datastoreItem>
</file>

<file path=customXml/itemProps21.xml><?xml version="1.0" encoding="utf-8"?>
<ds:datastoreItem xmlns:ds="http://schemas.openxmlformats.org/officeDocument/2006/customXml" ds:itemID="{990A2903-C01D-4B4F-975E-D448D0E1A565}">
  <ds:schemaRefs>
    <ds:schemaRef ds:uri="http://gemini/pivotcustomization/SandboxNonEmpty"/>
  </ds:schemaRefs>
</ds:datastoreItem>
</file>

<file path=customXml/itemProps22.xml><?xml version="1.0" encoding="utf-8"?>
<ds:datastoreItem xmlns:ds="http://schemas.openxmlformats.org/officeDocument/2006/customXml" ds:itemID="{AAA16094-6EFC-4DAB-BA70-5996474E7C0D}">
  <ds:schemaRefs>
    <ds:schemaRef ds:uri="http://schemas.microsoft.com/DataMashup"/>
  </ds:schemaRefs>
</ds:datastoreItem>
</file>

<file path=customXml/itemProps23.xml><?xml version="1.0" encoding="utf-8"?>
<ds:datastoreItem xmlns:ds="http://schemas.openxmlformats.org/officeDocument/2006/customXml" ds:itemID="{2D1A7F6C-22DE-409F-8641-762CA85EFA7F}">
  <ds:schemaRefs>
    <ds:schemaRef ds:uri="http://gemini/pivotcustomization/ManualCalcMode"/>
  </ds:schemaRefs>
</ds:datastoreItem>
</file>

<file path=customXml/itemProps24.xml><?xml version="1.0" encoding="utf-8"?>
<ds:datastoreItem xmlns:ds="http://schemas.openxmlformats.org/officeDocument/2006/customXml" ds:itemID="{CE1858E8-BA2D-4875-9272-28444F7693F6}">
  <ds:schemaRefs>
    <ds:schemaRef ds:uri="http://gemini/pivotcustomization/Diagrams"/>
  </ds:schemaRefs>
</ds:datastoreItem>
</file>

<file path=customXml/itemProps25.xml><?xml version="1.0" encoding="utf-8"?>
<ds:datastoreItem xmlns:ds="http://schemas.openxmlformats.org/officeDocument/2006/customXml" ds:itemID="{CBBC371F-D438-4E26-899A-F00123216BBA}">
  <ds:schemaRefs>
    <ds:schemaRef ds:uri="http://gemini/pivotcustomization/Error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SpecificationWork_1</vt:lpstr>
      <vt:lpstr>SpecificationWork_2</vt:lpstr>
      <vt:lpstr>SpecificationWork</vt:lpstr>
      <vt:lpstr>Pivot</vt:lpstr>
      <vt:lpstr>HandbookProject</vt:lpstr>
      <vt:lpstr>HandbookBrand</vt:lpstr>
      <vt:lpstr>HandbookSupplier</vt:lpstr>
      <vt:lpstr>HandbookUnit</vt:lpstr>
      <vt:lpstr>TableSchema</vt:lpstr>
      <vt:lpstr>ConfigJSON</vt:lpstr>
    </vt:vector>
  </TitlesOfParts>
  <Manager>ivan.kukushkin@mas-tech.ru</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Наталья Кукушкина;ivan.kukushkin@mas-tech.ru</dc:creator>
  <cp:keywords/>
  <dc:description/>
  <cp:lastModifiedBy>Иван Кукушкин</cp:lastModifiedBy>
  <cp:revision/>
  <dcterms:created xsi:type="dcterms:W3CDTF">2023-07-03T07:42:32Z</dcterms:created>
  <dcterms:modified xsi:type="dcterms:W3CDTF">2026-09-08T15:42:07Z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0x01010007D84D672F2E7C4DA6F6F01E8FEF9773</vt:lpwstr>
  </property>
</Properties>
</file>