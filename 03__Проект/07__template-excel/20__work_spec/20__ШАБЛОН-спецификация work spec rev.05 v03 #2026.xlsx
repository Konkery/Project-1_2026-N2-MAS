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tables/table3.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queryTables/queryTable3.xml" ContentType="application/vnd.openxmlformats-officedocument.spreadsheetml.queryTable+xml"/>
  <Override PartName="/xl/tables/table6.xml" ContentType="application/vnd.openxmlformats-officedocument.spreadsheetml.table+xml"/>
  <Override PartName="/xl/queryTables/queryTable4.xml" ContentType="application/vnd.openxmlformats-officedocument.spreadsheetml.queryTable+xml"/>
  <Override PartName="/xl/tables/table7.xml" ContentType="application/vnd.openxmlformats-officedocument.spreadsheetml.table+xml"/>
  <Override PartName="/xl/queryTables/queryTable5.xml" ContentType="application/vnd.openxmlformats-officedocument.spreadsheetml.queryTable+xml"/>
  <Override PartName="/xl/tables/table8.xml" ContentType="application/vnd.openxmlformats-officedocument.spreadsheetml.table+xml"/>
  <Override PartName="/xl/comments3.xml" ContentType="application/vnd.openxmlformats-officedocument.spreadsheetml.comments+xml"/>
  <Override PartName="/xl/threadedComments/threadedComment3.xml" ContentType="application/vnd.ms-excel.threadedcomments+xml"/>
  <Override PartName="/xl/tables/table9.xml" ContentType="application/vnd.openxmlformats-officedocument.spreadsheetml.table+xml"/>
  <Override PartName="/xl/comments4.xml" ContentType="application/vnd.openxmlformats-officedocument.spreadsheetml.comments+xml"/>
  <Override PartName="/xl/threadedComments/threadedComment4.xml" ContentType="application/vnd.ms-excel.threadedcomments+xml"/>
  <Override PartName="/xl/tables/table10.xml" ContentType="application/vnd.openxmlformats-officedocument.spreadsheetml.table+xml"/>
  <Override PartName="/xl/queryTables/queryTable6.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960f393676dadff3/01__LLC_MAS_2025/CONTRACT/2026/1_2026-N2-МАС/03__Проект/07__template-excel/20__work_spec/"/>
    </mc:Choice>
  </mc:AlternateContent>
  <xr:revisionPtr revIDLastSave="774" documentId="8_{E41F4DFA-A28F-42E7-9E8C-CAE5B7F57E4C}" xr6:coauthVersionLast="47" xr6:coauthVersionMax="47" xr10:uidLastSave="{573167B4-CA35-43B8-A340-8F61BF499C39}"/>
  <bookViews>
    <workbookView minimized="1" xWindow="-96" yWindow="7836" windowWidth="40044" windowHeight="17352" tabRatio="633" activeTab="8" xr2:uid="{00000000-000D-0000-FFFF-FFFF00000000}"/>
  </bookViews>
  <sheets>
    <sheet name="SpecificationWork_1" sheetId="25" r:id="rId1"/>
    <sheet name="SpecificationWork_2" sheetId="29" r:id="rId2"/>
    <sheet name="SpecificationWork" sheetId="43" r:id="rId3"/>
    <sheet name="Pivot" sheetId="37" r:id="rId4"/>
    <sheet name="HandbookProject" sheetId="27" state="hidden" r:id="rId5"/>
    <sheet name="HandbookBrand" sheetId="22" state="hidden" r:id="rId6"/>
    <sheet name="HandbookSupplier" sheetId="23" state="hidden" r:id="rId7"/>
    <sheet name="HandbookUnit" sheetId="24" state="hidden" r:id="rId8"/>
    <sheet name="TableSchema" sheetId="18" r:id="rId9"/>
    <sheet name="ConfigJSON" sheetId="17" r:id="rId10"/>
    <sheet name="SpecificationToCustomerFin" sheetId="44" r:id="rId11"/>
  </sheets>
  <definedNames>
    <definedName name="_xlcn.WorksheetConnection_ШаблонспецификацияworkspecN2025.xlsxTabSpecificationWork_11" hidden="1">TabSpecificationWork_1[]</definedName>
    <definedName name="_xlcn.WorksheetConnection_ШаблонспецификацияworkspecN2025.xlsxTabSpecificationWork_21" hidden="1">TabSpecificationWork_2[]</definedName>
    <definedName name="_xlnm._FilterDatabase" localSheetId="1" hidden="1">SpecificationWork_2!$A$1:$D$10</definedName>
    <definedName name="ExternalData_1" localSheetId="5" hidden="1">HandbookBrand!$A$1:$B$88</definedName>
    <definedName name="ExternalData_1" localSheetId="4" hidden="1">HandbookProject!$A$1:$E$172</definedName>
    <definedName name="ExternalData_1" localSheetId="6" hidden="1">HandbookSupplier!$A$1:$B$48</definedName>
    <definedName name="ExternalData_1" localSheetId="7" hidden="1">HandbookUnit!$A$1:$B$5</definedName>
    <definedName name="ExternalData_1" localSheetId="10" hidden="1">SpecificationToCustomerFin!$A$1:$H$8</definedName>
    <definedName name="ExternalData_1" localSheetId="2" hidden="1">SpecificationWork!$A$1:$AU$10</definedName>
  </definedNames>
  <calcPr calcId="191028" refMode="R1C1"/>
  <pivotCaches>
    <pivotCache cacheId="0" r:id="rId1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5" l="1"/>
  <c r="H7" i="29"/>
  <c r="H6" i="29"/>
  <c r="H2" i="29"/>
  <c r="H5" i="29" l="1"/>
  <c r="N5" i="29" s="1"/>
  <c r="N6" i="29"/>
  <c r="N7" i="29"/>
  <c r="H8" i="29"/>
  <c r="N8" i="29" s="1"/>
  <c r="H9" i="29"/>
  <c r="H10" i="29"/>
  <c r="N10" i="29" s="1"/>
  <c r="U7" i="25"/>
  <c r="Y7" i="25" s="1"/>
  <c r="Z7" i="25" s="1"/>
  <c r="U8" i="25"/>
  <c r="Y8" i="25" s="1"/>
  <c r="Z8" i="25" s="1"/>
  <c r="U9" i="25"/>
  <c r="Y9" i="25" s="1"/>
  <c r="Z9" i="25" s="1"/>
  <c r="U10" i="25"/>
  <c r="Y10" i="25" s="1"/>
  <c r="Z10" i="25" s="1"/>
  <c r="I6" i="25"/>
  <c r="K6" i="25" s="1"/>
  <c r="I7" i="25"/>
  <c r="I8" i="25"/>
  <c r="K8" i="25" s="1"/>
  <c r="I9" i="25"/>
  <c r="K9" i="25" s="1"/>
  <c r="I10" i="25"/>
  <c r="K10" i="25" s="1"/>
  <c r="D7" i="25"/>
  <c r="D8" i="25"/>
  <c r="D9" i="25"/>
  <c r="D10" i="25"/>
  <c r="U6" i="25"/>
  <c r="Y6" i="25" s="1"/>
  <c r="Z6" i="25" s="1"/>
  <c r="D3" i="25"/>
  <c r="D4" i="25"/>
  <c r="D5" i="25"/>
  <c r="D6" i="25"/>
  <c r="U5" i="25"/>
  <c r="I3" i="25"/>
  <c r="K3" i="25" s="1"/>
  <c r="I4" i="25"/>
  <c r="K4" i="25" s="1"/>
  <c r="I5" i="25"/>
  <c r="K5" i="25" s="1"/>
  <c r="U4" i="25"/>
  <c r="U2" i="25"/>
  <c r="Y2" i="25" s="1"/>
  <c r="U3" i="25"/>
  <c r="Y3" i="25" s="1"/>
  <c r="D2" i="25"/>
  <c r="K2" i="25" l="1"/>
  <c r="K7" i="25"/>
  <c r="I8" i="29"/>
  <c r="I7" i="29"/>
  <c r="K7" i="29" s="1"/>
  <c r="I6" i="29"/>
  <c r="K6" i="29" s="1"/>
  <c r="I5" i="29"/>
  <c r="K5" i="29" s="1"/>
  <c r="I9" i="29"/>
  <c r="N9" i="29"/>
  <c r="I10" i="29"/>
  <c r="Y5" i="25"/>
  <c r="Z5" i="25" s="1"/>
  <c r="Y4" i="25"/>
  <c r="Z4" i="25" s="1"/>
  <c r="Z2" i="25"/>
  <c r="Z3" i="25"/>
  <c r="H3" i="29"/>
  <c r="N3" i="29" s="1"/>
  <c r="H4" i="29"/>
  <c r="N4" i="29" s="1"/>
  <c r="N2" i="29"/>
  <c r="K9" i="29" l="1"/>
  <c r="Q9" i="29" s="1"/>
  <c r="K8" i="29"/>
  <c r="Q8" i="29" s="1"/>
  <c r="Q7" i="29"/>
  <c r="A2" i="29" a="1"/>
  <c r="Q6" i="29"/>
  <c r="Q5" i="29"/>
  <c r="K10" i="29"/>
  <c r="Q10" i="29" s="1"/>
  <c r="I4" i="29"/>
  <c r="K4" i="29" s="1"/>
  <c r="I3" i="29"/>
  <c r="K3" i="29" s="1"/>
  <c r="I2" i="29"/>
  <c r="A2" i="29" l="1"/>
  <c r="F9" i="29"/>
  <c r="K2" i="29"/>
  <c r="Q2" i="29" s="1"/>
  <c r="F6" i="29"/>
  <c r="M6" i="29" s="1"/>
  <c r="F10" i="29"/>
  <c r="M10" i="29" s="1"/>
  <c r="M9" i="29"/>
  <c r="F7" i="29"/>
  <c r="M7" i="29" s="1"/>
  <c r="F5" i="29"/>
  <c r="M5" i="29" s="1"/>
  <c r="F8" i="29"/>
  <c r="M8" i="29" s="1"/>
  <c r="Q3" i="29"/>
  <c r="Q4" i="29"/>
  <c r="O8" i="29" l="1"/>
  <c r="P8" i="29" s="1"/>
  <c r="R8" i="29"/>
  <c r="S8" i="29" s="1"/>
  <c r="R10" i="29"/>
  <c r="S10" i="29" s="1"/>
  <c r="O10" i="29"/>
  <c r="P10" i="29" s="1"/>
  <c r="O6" i="29"/>
  <c r="P6" i="29" s="1"/>
  <c r="R6" i="29"/>
  <c r="S6" i="29" s="1"/>
  <c r="O5" i="29"/>
  <c r="P5" i="29" s="1"/>
  <c r="R5" i="29"/>
  <c r="S5" i="29" s="1"/>
  <c r="R7" i="29"/>
  <c r="S7" i="29" s="1"/>
  <c r="O7" i="29"/>
  <c r="P7" i="29" s="1"/>
  <c r="O9" i="29"/>
  <c r="P9" i="29" s="1"/>
  <c r="R9" i="29"/>
  <c r="S9" i="29" s="1"/>
  <c r="F3" i="29"/>
  <c r="M3" i="29" s="1"/>
  <c r="F4" i="29"/>
  <c r="M4" i="29" s="1"/>
  <c r="F2" i="29"/>
  <c r="M2" i="29" s="1"/>
  <c r="R3" i="29" l="1"/>
  <c r="S3" i="29" s="1"/>
  <c r="O3" i="29"/>
  <c r="P3" i="29" s="1"/>
  <c r="R2" i="29"/>
  <c r="S2" i="29" s="1"/>
  <c r="O2" i="29"/>
  <c r="P2" i="29" s="1"/>
  <c r="O4" i="29"/>
  <c r="P4" i="29" s="1"/>
  <c r="R4" i="29"/>
  <c r="S4" i="29"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tc={F6344F8B-2B3A-40F5-94E4-16B7A498AB48}</author>
    <author>tc={E3D9B2AC-BF73-467B-B4DB-9A01321331B9}</author>
    <author>tc={8F981E2E-A069-4F7D-B569-584150EAACC6}</author>
    <author>tc={7960CCAA-C85E-4532-A46A-96785E4D240A}</author>
    <author>tc={FE809EA2-7E50-4AEF-ADD4-15BD881CFCA5}</author>
    <author>tc={FE5A4F88-C626-4813-B9F6-AC623AC19292}</author>
    <author>tc={5D52B54C-0708-4CA1-A0BC-47334CF09CE6}</author>
    <author>tc={70842CBF-5120-4049-9941-DC7047DC8A17}</author>
    <author>tc={F4A88E00-01BF-4A9D-BB00-CA966B2636D4}</author>
    <author>tc={890F2321-773B-4860-984E-8BC625841E0A}</author>
    <author>tc={2C22FD44-0F6F-4613-A453-FA7B515CF251}</author>
    <author>tc={BE27801C-0731-473F-8682-66560F0BB1E4}</author>
    <author>tc={BF2CA57A-7DA7-402D-98F7-C3C603B6B406}</author>
    <author>tc={04599C53-D9FA-49F2-923B-EDB75AD601A2}</author>
    <author>tc={6F577B15-DEC3-4280-BB97-E6CA976D117B}</author>
    <author>tc={558DC68A-31E6-40BF-8F27-3467FE25D98D}</author>
    <author>tc={397FFE0C-F713-4E2F-B787-8428280F9203}</author>
    <author>tc={635CA893-B3CA-47BA-8F79-B4074D2943AC}</author>
    <author>tc={8620B4C4-3914-40DF-A218-4F9092ACBCCC}</author>
    <author>tc={0B7C2C1D-3BA7-464A-8F40-BB11C8377876}</author>
    <author>tc={A6B4B6DF-DD2A-463F-A7C3-7F87B17D3385}</author>
    <author>tc={2815824D-89DB-4994-9B34-7D12489A7D8C}</author>
    <author>tc={BC32CEEA-6CCC-42A0-9D55-CD12DF19372E}</author>
    <author>tc={DD218251-CF17-4800-B705-3E507BD24335}</author>
    <author>tc={1A2ACEFF-E713-463A-9D5B-54184A4CD29D}</author>
    <author>tc={A2183C8D-B3AF-4976-97A5-50EF84A0AF59}</author>
    <author>tc={6339678F-4C5D-4328-BE94-531FC243752F}</author>
    <author>tc={9A7C07C3-6A21-4EE8-BEF0-B48F9D85045A}</author>
    <author>tc={0FD87E57-4A0E-4B18-B9A5-14EFBAEA0360}</author>
    <author>tc={FC3D7DDB-A80F-4FFB-9267-3E86088C3010}</author>
  </authors>
  <commentList>
    <comment ref="A1" authorId="0" shapeId="0" xr:uid="{F6344F8B-2B3A-40F5-94E4-16B7A498AB4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Уникальный порядковый номер позиции</t>
      </text>
    </comment>
    <comment ref="B1" authorId="1" shapeId="0" xr:uid="{E3D9B2AC-BF73-467B-B4DB-9A01321331B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Порядковый номер позиции из спецификации заказчика</t>
      </text>
    </comment>
    <comment ref="C1" authorId="2" shapeId="0" xr:uid="{8F981E2E-A069-4F7D-B569-584150EAACC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Полный номер проекта из таблицы реестр проектов</t>
      </text>
    </comment>
    <comment ref="D1" authorId="3" shapeId="0" xr:uid="{7960CCAA-C85E-4532-A46A-96785E4D240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ВЫЧИСЛЯЕМЫЙ СТОЛБЕЦ, РУКАМИ НЕ ЗАПОЛНЯТЬ ! Номер заказа в рамках проекта из списка заказов</t>
      </text>
    </comment>
    <comment ref="E1" authorId="4" shapeId="0" xr:uid="{FE809EA2-7E50-4AEF-ADD4-15BD881CFCA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Версия коллекции - число. Под КОЛЛЕКЦИЕЙ понимается объект данных который описывает стока, она же одна запись датасета</t>
      </text>
    </comment>
    <comment ref="F1" authorId="5" shapeId="0" xr:uid="{FE5A4F88-C626-4813-B9F6-AC623AC192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комплекта</t>
      </text>
    </comment>
    <comment ref="G1" authorId="6" shapeId="0" xr:uid="{5D52B54C-0708-4CA1-A0BC-47334CF09CE6}">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Свободный (число или текст - латиницей) идентификатор комплекта
</t>
      </text>
    </comment>
    <comment ref="H1" authorId="7" shapeId="0" xr:uid="{70842CBF-5120-4049-9941-DC7047DC8A17}">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Порядковый номер позиции в комплекте</t>
      </text>
    </comment>
    <comment ref="I1" authorId="8" shapeId="0" xr:uid="{F4A88E00-01BF-4A9D-BB00-CA966B2636D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Полный порядковый номер позиции, состоящий из номер комплекта и номера порядкового в комплекте</t>
      </text>
    </comment>
    <comment ref="J1" authorId="9" shapeId="0" xr:uid="{890F2321-773B-4860-984E-8BC625841E0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поставки позиции в данном заказе</t>
      </text>
    </comment>
    <comment ref="K1" authorId="10" shapeId="0" xr:uid="{2C22FD44-0F6F-4613-A453-FA7B515CF25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L1" authorId="11" shapeId="0" xr:uid="{BE27801C-0731-473F-8682-66560F0BB1E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Наименование позиции</t>
      </text>
    </comment>
    <comment ref="M1" authorId="12" shapeId="0" xr:uid="{BF2CA57A-7DA7-402D-98F7-C3C603B6B40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Технические характеристики позиции</t>
      </text>
    </comment>
    <comment ref="N1" authorId="13" shapeId="0" xr:uid="{04599C53-D9FA-49F2-923B-EDB75AD601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бренда производителя</t>
      </text>
    </comment>
    <comment ref="O1" authorId="14" shapeId="0" xr:uid="{6F577B15-DEC3-4280-BB97-E6CA976D11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Название поставщика</t>
      </text>
    </comment>
    <comment ref="P1" authorId="15" shapeId="0" xr:uid="{558DC68A-31E6-40BF-8F27-3467FE25D98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Артикул поставщика</t>
      </text>
    </comment>
    <comment ref="Q1" authorId="16" shapeId="0" xr:uid="{397FFE0C-F713-4E2F-B787-8428280F920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Артикул МАС/Горизонт</t>
      </text>
    </comment>
    <comment ref="R1" authorId="17" shapeId="0" xr:uid="{635CA893-B3CA-47BA-8F79-B4074D2943A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Единицы измерения из справочника</t>
      </text>
    </comment>
    <comment ref="S1" authorId="18" shapeId="0" xr:uid="{8620B4C4-3914-40DF-A218-4F9092ACBCC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единиц данной позиции в комплекте</t>
      </text>
    </comment>
    <comment ref="T1" authorId="19" shapeId="0" xr:uid="{0B7C2C1D-3BA7-464A-8F40-BB11C83778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комплектов в поставке</t>
      </text>
    </comment>
    <comment ref="U1" authorId="20" shapeId="0" xr:uid="{A6B4B6DF-DD2A-463F-A7C3-7F87B17D338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Итоговое количество по данной позиции в поставке</t>
      </text>
    </comment>
    <comment ref="V1" authorId="21" shapeId="0" xr:uid="{2815824D-89DB-4994-9B34-7D12489A7D8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Количество в наличии у поставщика</t>
      </text>
    </comment>
    <comment ref="W1" authorId="22" shapeId="0" xr:uid="{BC32CEEA-6CCC-42A0-9D55-CD12DF19372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закупка</t>
      </text>
    </comment>
    <comment ref="X1" authorId="23" shapeId="0" xr:uid="{DD218251-CF17-4800-B705-3E507BD243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
      </text>
    </comment>
    <comment ref="Y1" authorId="24" shapeId="0" xr:uid="{1A2ACEFF-E713-463A-9D5B-54184A4CD29D}">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Себестоимость без НДС - закупка
Автоматически заполняемый столбец
</t>
      </text>
    </comment>
    <comment ref="Z1" authorId="25" shapeId="0" xr:uid="{A2183C8D-B3AF-4976-97A5-50EF84A0A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Себестоимость с НДС - закупка
Автоматически заполняемый столбец</t>
      </text>
    </comment>
    <comment ref="AA1" authorId="26" shapeId="0" xr:uid="{6339678F-4C5D-4328-BE94-531FC243752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Идентификатор спецификации поставщика/дистрибьютера, на основе которой сформирована цена позиции. Из справочника ТКП поставщиков</t>
      </text>
    </comment>
    <comment ref="AB1" authorId="27" shapeId="0" xr:uid="{9A7C07C3-6A21-4EE8-BEF0-B48F9D85045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Комментарии внутренний - ТОЛЬКО ДЛЯ ВНУТРЕННЕГО СЛУЖЕБНОГО ПОЛЬЗОВАНИЯ. Полезная, дополнительная информация по позиции в свободной форме</t>
      </text>
    </comment>
    <comment ref="AC1" authorId="28" shapeId="0" xr:uid="{0FD87E57-4A0E-4B18-B9A5-14EFBAEA036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Прямая ссылка на позицию на сайте производителя/поставщика</t>
      </text>
    </comment>
    <comment ref="AD1" authorId="29" shapeId="0" xr:uid="{FC3D7DDB-A80F-4FFB-9267-3E86088C30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Прямая ссылка на позицию на сайте производителя/поставщика</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tc={309647A7-39FA-4D1C-9D34-F6589AA872B5}</author>
    <author>tc={CF0B5015-4158-4820-9F26-C26499DBA742}</author>
    <author>tc={21F0EC38-F450-4B3D-9F20-24E0A5086D76}</author>
    <author>tc={80AA62D7-622C-4FD5-BD05-73196064F988}</author>
    <author>tc={FD29CBDA-5DC6-4B24-8102-5F8F7BB14035}</author>
    <author>tc={63A27906-F095-41CD-A95D-65E7066FF0CA}</author>
    <author>tc={1C6B5050-6CB5-4334-B0BF-D352BE35FCDD}</author>
    <author>tc={D0474F68-7DA7-4FC0-8BD1-134ECFB12491}</author>
    <author>tc={9096AD6D-0080-4F91-9D46-8ADB24D70A9C}</author>
    <author>tc={F5520E19-1749-4935-937F-D330CD583E41}</author>
    <author>tc={CD8022F8-4810-4BA1-A1F9-0C15B5CF4AD3}</author>
    <author>tc={A186831B-F51A-48CE-8D1F-DD0498716A32}</author>
    <author>tc={7AB54C9D-A09E-42F2-9D72-BE02ECAADC92}</author>
    <author>tc={8E0C7296-1BDD-4B47-A850-27FD40517584}</author>
    <author>tc={9B32C0B5-C05B-484C-A693-11A0F23F77D8}</author>
    <author>tc={B42D3B41-058E-4983-94A4-8C60C7C63672}</author>
    <author>tc={56C833C4-D222-48BD-9788-D14B6BE0D29E}</author>
    <author>tc={F8030F50-FD87-4745-A651-025560126A86}</author>
  </authors>
  <commentList>
    <comment ref="F1" authorId="0" shapeId="0" xr:uid="{309647A7-39FA-4D1C-9D34-F6589AA872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Уникальное хэш значение, характеризуемое текущую коллекцию</t>
      </text>
    </comment>
    <comment ref="G1" authorId="1" shapeId="0" xr:uid="{CF0B5015-4158-4820-9F26-C26499DBA74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Коэффициент наценки</t>
      </text>
    </comment>
    <comment ref="H1" authorId="2" shapeId="0" xr:uid="{21F0EC38-F450-4B3D-9F20-24E0A5086D7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Цена за единицу - реализация
Автоматически заполняемый столбец</t>
      </text>
    </comment>
    <comment ref="I1" authorId="3" shapeId="0" xr:uid="{80AA62D7-622C-4FD5-BD05-73196064F98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Стоимость - реализация
Автоматически заполняемый столбец.</t>
      </text>
    </comment>
    <comment ref="J1" authorId="4" shapeId="0" xr:uid="{FD29CBDA-5DC6-4B24-8102-5F8F7BB1403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t>
      </text>
    </comment>
    <comment ref="K1" authorId="5" shapeId="0" xr:uid="{63A27906-F095-41CD-A95D-65E7066FF0C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Скидка в процентах
Автоматически заполняемый столбец.</t>
      </text>
    </comment>
    <comment ref="L1" authorId="6" shapeId="0" xr:uid="{1C6B5050-6CB5-4334-B0BF-D352BE35FCDD}">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Зарезервирована для будущих изменений в методиках расчета цены/стоимости</t>
      </text>
    </comment>
    <comment ref="M1" authorId="7" shapeId="0" xr:uid="{D0474F68-7DA7-4FC0-8BD1-134ECFB1249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Ставка НДС исполнителя (0.22 для ГОРИЗОНТ; 0.00 для МАС/ИП)
Автоматически заполняемый столбец</t>
      </text>
    </comment>
    <comment ref="N1" authorId="8" shapeId="0" xr:uid="{9096AD6D-0080-4F91-9D46-8ADB24D70A9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по позиции - реализация
Автоматически заполняемый столбец</t>
      </text>
    </comment>
    <comment ref="O1" authorId="9" shapeId="0" xr:uid="{F5520E19-1749-4935-937F-D330CD583E41}">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Исходящий НДС на ед.
Автоматически заполняемый столбец</t>
      </text>
    </comment>
    <comment ref="P1" authorId="10" shapeId="0" xr:uid="{CD8022F8-4810-4BA1-A1F9-0C15B5CF4AD3}">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цена за ед. С НДС
Автоматически заполняемый столбец</t>
      </text>
    </comment>
    <comment ref="Q1" authorId="11" shapeId="0" xr:uid="{A186831B-F51A-48CE-8D1F-DD0498716A3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стоимость по позиции - реализация
Автоматически заполняемый столбец
</t>
      </text>
    </comment>
    <comment ref="R1" authorId="12" shapeId="0" xr:uid="{7AB54C9D-A09E-42F2-9D72-BE02ECAADC9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НДС по позиции - реализация
Автоматически заполняемый столбец</t>
      </text>
    </comment>
    <comment ref="S1" authorId="13" shapeId="0" xr:uid="{8E0C7296-1BDD-4B47-A850-27FD4051758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Итоговая стоимость по позиции с НДС - реализация
Автоматически заполняемый столбец</t>
      </text>
    </comment>
    <comment ref="T1" authorId="14" shapeId="0" xr:uid="{9B32C0B5-C05B-484C-A693-11A0F23F77D8}">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Длительность в календарных днях реализации товара или услуги</t>
      </text>
    </comment>
    <comment ref="U1" authorId="15" shapeId="0" xr:uid="{B42D3B41-058E-4983-94A4-8C60C7C6367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закупки позиции в данном заказе</t>
      </text>
    </comment>
    <comment ref="V1" authorId="16" shapeId="0" xr:uid="{56C833C4-D222-48BD-9788-D14B6BE0D29E}">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пост-модификации коммерческих данных данной коллекции </t>
      </text>
    </comment>
    <comment ref="W1" authorId="17" shapeId="0" xr:uid="{F8030F50-FD87-4745-A651-025560126A8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для - заказчика.
Свободная информация по позиции для технических спецификаций предназначенных заказчику</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tc={E72C4575-B903-42C0-BF0C-095553A1C54C}</author>
    <author>tc={467C0B6F-9F95-4DB0-BF80-F675DE91455F}</author>
    <author>tc={4CFBF6B6-7EFD-4069-8DE5-8B3A382DE8B5}</author>
    <author>tc={F53B5208-810B-4812-85B6-273910B12FA2}</author>
    <author>tc={402736B6-8AA9-44F1-87AF-DCFCB998D9A2}</author>
    <author>tc={73665B3F-01E8-4647-B7CF-D2ADCE5DFF7A}</author>
    <author>tc={BF2E705E-F92F-4135-963A-1D08D1A86B10}</author>
    <author>tc={BA3FC78D-DF56-4299-98BA-EF543AEDDE96}</author>
    <author>tc={C4590EF0-B4FA-4AF9-B9E3-97C4D5D4FB74}</author>
    <author>tc={1B29FCF3-2C93-496F-9F2F-E1BE3F0529EE}</author>
    <author>tc={2C9CD6CD-74E9-4E5F-9945-3215BE6F4F59}</author>
    <author>tc={38ECDC56-C1B3-4279-9135-C2F194AF05C2}</author>
    <author>tc={0E01910B-EABC-47EE-A6F2-36B241839F32}</author>
    <author>tc={2542A1D5-C697-4EB9-ADE5-2F46F073681A}</author>
  </authors>
  <commentList>
    <comment ref="B1" authorId="0" shapeId="0" xr:uid="{E72C4575-B903-42C0-BF0C-095553A1C54C}">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Нумерация в соответствии с нумерацией столбцов Excel</t>
      </text>
    </comment>
    <comment ref="C1" authorId="1" shapeId="0" xr:uid="{467C0B6F-9F95-4DB0-BF80-F675DE91455F}">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Рабочее наименование столбца</t>
      </text>
    </comment>
    <comment ref="D1" authorId="2" shapeId="0" xr:uid="{4CFBF6B6-7EFD-4069-8DE5-8B3A382DE8B5}">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
      </text>
    </comment>
    <comment ref="E1" authorId="3" shapeId="0" xr:uid="{F53B5208-810B-4812-85B6-273910B12FA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столбца, который необходимо задать вконфигурации JSON. Данный параметр отработает при валидации таблицы</t>
      </text>
    </comment>
    <comment ref="F1" authorId="4" shapeId="0" xr:uid="{402736B6-8AA9-44F1-87AF-DCFCB998D9A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Диапазон допустимых значений
</t>
      </text>
    </comment>
    <comment ref="G1" authorId="5" shapeId="0" xr:uid="{73665B3F-01E8-4647-B7CF-D2ADCE5DFF7A}">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того что столбец должен хранить только уникальные значения</t>
      </text>
    </comment>
    <comment ref="H1" authorId="6" shapeId="0" xr:uid="{BF2E705E-F92F-4135-963A-1D08D1A86B1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допустимости ‘null’ (т.е. пустых) значения в данном столбце</t>
      </text>
    </comment>
    <comment ref="I1" authorId="7" shapeId="0" xr:uid="{BA3FC78D-DF56-4299-98BA-EF543AEDDE96}">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Автоматически заполняемый столбец. Пользователь не должен руками вносить значения</t>
      </text>
    </comment>
    <comment ref="J1" authorId="8" shapeId="0" xr:uid="{C4590EF0-B4FA-4AF9-B9E3-97C4D5D4FB74}">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
      </text>
    </comment>
    <comment ref="K1" authorId="9" shapeId="0" xr:uid="{1B29FCF3-2C93-496F-9F2F-E1BE3F0529EE}">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
      </text>
    </comment>
    <comment ref="L1" authorId="10" shapeId="0" xr:uid="{2C9CD6CD-74E9-4E5F-9945-3215BE6F4F5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Признак выбора значений из выпадающего списка</t>
      </text>
    </comment>
    <comment ref="M1" authorId="11" shapeId="0" xr:uid="{38ECDC56-C1B3-4279-9135-C2F194AF05C2}">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
      </text>
    </comment>
    <comment ref="P1" authorId="12" shapeId="0" xr:uid="{0E01910B-EABC-47EE-A6F2-36B241839F32}">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Включить перенос текста</t>
      </text>
    </comment>
    <comment ref="Q1" authorId="13" shapeId="0" xr:uid="{2542A1D5-C697-4EB9-ADE5-2F46F073681A}">
      <text>
        <t xml:space="preserve">[Цепочка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поясняющий смысл хранимых в столбце данных, также ряд ограничений связанных с ним и ряд другой информации. </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tc={677E766F-DCD2-40C5-BCF6-694B76559E7B}</author>
    <author>tc={9097B5E4-5BB8-495D-920F-57E4FE5CA3D9}</author>
    <author>tc={EAFE6082-86D5-4614-8F32-BA64CCE0A820}</author>
    <author>tc={324BD8BD-4E4A-4D8A-8018-FCE55CC73CF0}</author>
  </authors>
  <commentList>
    <comment ref="A1" authorId="0" shapeId="0" xr:uid="{677E766F-DCD2-40C5-BCF6-694B76559E7B}">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
      </text>
    </comment>
    <comment ref="B1" authorId="1" shapeId="0" xr:uid="{9097B5E4-5BB8-495D-920F-57E4FE5CA3D9}">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
      </text>
    </comment>
    <comment ref="C1" authorId="2" shapeId="0" xr:uid="{EAFE6082-86D5-4614-8F32-BA64CCE0A82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
      </text>
    </comment>
    <comment ref="D1" authorId="3" shapeId="0" xr:uid="{324BD8BD-4E4A-4D8A-8018-FCE55CC73CF0}">
      <text>
        <t>[Цепочка примечаний]
Ваша версия Excel позволяет прочитать эту цепочку примечаний, но если открыть файл в более поздней версии Excel, все внесенные в нее изменения будут удалены. Подробнее: https://go.microsoft.com/fwlink/?linkid=870924
Комментарий:
    Комментарий определяющий назначение конфигурационного JSON объекта.</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FC4766-FE53-4913-87C5-FA57CF980B52}" keepAlive="1" name="ThisWorkbookDataModel" description="Модель данных"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20033BA-DA1B-4D40-B043-2A7725E1A0F3}" name="WorksheetConnection_Шаблон-спецификация work spec ^N2025.xlsx!TabSpecificationWork_1" type="102" refreshedVersion="8" minRefreshableVersion="5">
    <extLst>
      <ext xmlns:x15="http://schemas.microsoft.com/office/spreadsheetml/2010/11/main" uri="{DE250136-89BD-433C-8126-D09CA5730AF9}">
        <x15:connection id="TabSpecificationWork_1" autoDelete="1">
          <x15:rangePr sourceName="_xlcn.WorksheetConnection_ШаблонспецификацияworkspecN2025.xlsxTabSpecificationWork_11"/>
        </x15:connection>
      </ext>
    </extLst>
  </connection>
  <connection id="3" xr16:uid="{8AACF328-DBA8-4490-9435-12D7A95ED362}" name="WorksheetConnection_Шаблон-спецификация work spec ^N2025.xlsx!TabSpecificationWork_2" type="102" refreshedVersion="8" minRefreshableVersion="5">
    <extLst>
      <ext xmlns:x15="http://schemas.microsoft.com/office/spreadsheetml/2010/11/main" uri="{DE250136-89BD-433C-8126-D09CA5730AF9}">
        <x15:connection id="TabSpecificationWork_2">
          <x15:rangePr sourceName="_xlcn.WorksheetConnection_ШаблонспецификацияworkspecN2025.xlsxTabSpecificationWork_21"/>
        </x15:connection>
      </ext>
    </extLst>
  </connection>
  <connection id="4" xr16:uid="{600E5483-04DA-45C5-A50D-56D679FA84AC}" keepAlive="1" name="Запрос — Corporation(1)" description="Соединение с запросом &quot;Corporation&quot; в книге." type="5" refreshedVersion="0" background="1">
    <dbPr connection="Provider=Microsoft.Mashup.OleDb.1;Data Source=$Workbook$;Location=Corporation;Extended Properties=&quot;&quot;" command="SELECT * FROM [Corporation]"/>
  </connection>
  <connection id="5" xr16:uid="{4A619DB3-1083-4F2C-9832-140819114C90}" keepAlive="1" name="Запрос — Counterparty" description="Соединение с запросом &quot;Counterparty&quot; в книге." type="5" refreshedVersion="0" background="1">
    <dbPr connection="Provider=Microsoft.Mashup.OleDb.1;Data Source=$Workbook$;Location=Counterparty;Extended Properties=&quot;&quot;" command="SELECT * FROM [Counterparty]"/>
  </connection>
  <connection id="6" xr16:uid="{3FC9813E-EDE7-465C-BB83-44C481FCBAF7}" keepAlive="1" name="Запрос — fnGetColumnNamesByTableName" description="Соединение с запросом &quot;fnGetColumnNamesByTableName&quot; в книге." type="5" refreshedVersion="0" background="1">
    <dbPr connection="Provider=Microsoft.Mashup.OleDb.1;Data Source=$Workbook$;Location=fnGetColumnNamesByTableName;Extended Properties=&quot;&quot;" command="SELECT * FROM [fnGetColumnNamesByTableName]"/>
  </connection>
  <connection id="7" xr16:uid="{ED570F2B-77CF-4335-A6AB-0EAE1164B64D}" keepAlive="1" name="Запрос — ftCapitalizeWords" description="Соединение с запросом &quot;ftCapitalizeWords&quot; в книге." type="5" refreshedVersion="0" background="1">
    <dbPr connection="Provider=Microsoft.Mashup.OleDb.1;Data Source=$Workbook$;Location=ftCapitalizeWords;Extended Properties=&quot;&quot;" command="SELECT * FROM [ftCapitalizeWords]"/>
  </connection>
  <connection id="8" xr16:uid="{EE508F9E-96E9-4D70-8EBD-470286DF55CB}" keepAlive="1" name="Запрос — ftCreateFullNameColumn" description="Соединение с запросом &quot;ftCreateFullNameColumn&quot; в книге." type="5" refreshedVersion="0" background="1">
    <dbPr connection="Provider=Microsoft.Mashup.OleDb.1;Data Source=$Workbook$;Location=ftCreateFullNameColumn;Extended Properties=&quot;&quot;" command="SELECT * FROM [ftCreateFullNameColumn]"/>
  </connection>
  <connection id="9" xr16:uid="{D0A0DF4D-15B8-446F-997B-31A45F1A9BF5}" keepAlive="1" name="Запрос — ftGetFullNameColumn" description="Соединение с запросом &quot;ftGetFullNameColumn&quot; в книге." type="5" refreshedVersion="0" background="1">
    <dbPr connection="Provider=Microsoft.Mashup.OleDb.1;Data Source=$Workbook$;Location=ftGetFullNameColumn;Extended Properties=&quot;&quot;" command="SELECT * FROM [ftGetFullNameColumn]"/>
  </connection>
  <connection id="10" xr16:uid="{022B6E77-FD56-41CF-9B5B-316664439645}" keepAlive="1" name="Запрос — ftNormalizeDates" description="Соединение с запросом &quot;ftNormalizeDates&quot; в книге." type="5" refreshedVersion="0" background="1">
    <dbPr connection="Provider=Microsoft.Mashup.OleDb.1;Data Source=$Workbook$;Location=ftNormalizeDates;Extended Properties=&quot;&quot;" command="SELECT * FROM [ftNormalizeDates]"/>
  </connection>
  <connection id="11" xr16:uid="{EFBBC001-9590-4159-B59C-65CB9427EBE1}" keepAlive="1" name="Запрос — ftRemoveColumnsStrict" description="Соединение с запросом &quot;ftRemoveColumnsStrict&quot; в книге." type="5" refreshedVersion="0" background="1">
    <dbPr connection="Provider=Microsoft.Mashup.OleDb.1;Data Source=$Workbook$;Location=ftRemoveColumnsStrict;Extended Properties=&quot;&quot;" command="SELECT * FROM [ftRemoveColumnsStrict]"/>
  </connection>
  <connection id="12" xr16:uid="{B6DFCEFE-5E2D-44A2-AE3F-734B8AA70B40}" keepAlive="1" name="Запрос — ftReorderColumnsStrict" description="Соединение с запросом &quot;ftReorderColumnsStrict&quot; в книге." type="5" refreshedVersion="0" background="1">
    <dbPr connection="Provider=Microsoft.Mashup.OleDb.1;Data Source=$Workbook$;Location=ftReorderColumnsStrict;Extended Properties=&quot;&quot;" command="SELECT * FROM [ftReorderColumnsStrict]"/>
  </connection>
  <connection id="13" xr16:uid="{8524AC48-AB0F-4A0B-89DD-41437F16A325}" keepAlive="1" name="Запрос — ftToLowerCase" description="Соединение с запросом &quot;ftToLowerCase&quot; в книге." type="5" refreshedVersion="0" background="1">
    <dbPr connection="Provider=Microsoft.Mashup.OleDb.1;Data Source=$Workbook$;Location=ftToLowerCase;Extended Properties=&quot;&quot;" command="SELECT * FROM [ftToLowerCase]"/>
  </connection>
  <connection id="14" xr16:uid="{CE7CBBC1-35C9-42F5-9D2A-D08575092BF0}" keepAlive="1" name="Запрос — ftToUpperCase" description="Соединение с запросом &quot;ftToUpperCase&quot; в книге." type="5" refreshedVersion="0" background="1">
    <dbPr connection="Provider=Microsoft.Mashup.OleDb.1;Data Source=$Workbook$;Location=ftToUpperCase;Extended Properties=&quot;&quot;" command="SELECT * FROM [ftToUpperCase]"/>
  </connection>
  <connection id="15" xr16:uid="{476D5206-B769-4E7A-8AA6-8EBE23DDC54A}" keepAlive="1" name="Запрос — ftTrimTextColumns" description="Соединение с запросом &quot;ftTrimTextColumns&quot; в книге." type="5" refreshedVersion="0" background="1">
    <dbPr connection="Provider=Microsoft.Mashup.OleDb.1;Data Source=$Workbook$;Location=ftTrimTextColumns;Extended Properties=&quot;&quot;" command="SELECT * FROM [ftTrimTextColumns]"/>
  </connection>
  <connection id="16" xr16:uid="{3ED31CBD-B0FD-4170-878F-E0AB037A8209}" keepAlive="1" name="Запрос — fvCheckBoolean" description="Соединение с запросом &quot;fvCheckBoolean&quot; в книге." type="5" refreshedVersion="0" background="1">
    <dbPr connection="Provider=Microsoft.Mashup.OleDb.1;Data Source=$Workbook$;Location=fvCheckBoolean;Extended Properties=&quot;&quot;" command="SELECT * FROM [fvCheckBoolean]"/>
  </connection>
  <connection id="17" xr16:uid="{8ABFF21D-901B-47FE-9720-C211F7C71F75}" keepAlive="1" name="Запрос — fvCheckDate" description="Соединение с запросом &quot;fvCheckDate&quot; в книге." type="5" refreshedVersion="0" background="1">
    <dbPr connection="Provider=Microsoft.Mashup.OleDb.1;Data Source=$Workbook$;Location=fvCheckDate;Extended Properties=&quot;&quot;" command="SELECT * FROM [fvCheckDate]"/>
  </connection>
  <connection id="18" xr16:uid="{F1605377-4F8D-466F-AB6C-0615716A38A4}" keepAlive="1" name="Запрос — fvCheckDateRange" description="Соединение с запросом &quot;fvCheckDateRange&quot; в книге." type="5" refreshedVersion="0" background="1">
    <dbPr connection="Provider=Microsoft.Mashup.OleDb.1;Data Source=$Workbook$;Location=fvCheckDateRange;Extended Properties=&quot;&quot;" command="SELECT * FROM [fvCheckDateRange]"/>
  </connection>
  <connection id="19" xr16:uid="{06F6936D-08FF-49FB-84A8-C44708721046}" keepAlive="1" name="Запрос — fvCheckEmail" description="Соединение с запросом &quot;fvCheckEmail&quot; в книге." type="5" refreshedVersion="0" background="1">
    <dbPr connection="Provider=Microsoft.Mashup.OleDb.1;Data Source=$Workbook$;Location=fvCheckEmail;Extended Properties=&quot;&quot;" command="SELECT * FROM [fvCheckEmail]"/>
  </connection>
  <connection id="20" xr16:uid="{726A02B3-9115-4067-8386-72C394005663}" keepAlive="1" name="Запрос — fvCheckFloat" description="Соединение с запросом &quot;fvCheckFloat&quot; в книге." type="5" refreshedVersion="0" background="1">
    <dbPr connection="Provider=Microsoft.Mashup.OleDb.1;Data Source=$Workbook$;Location=fvCheckFloat;Extended Properties=&quot;&quot;" command="SELECT * FROM [fvCheckFloat]"/>
  </connection>
  <connection id="21" xr16:uid="{55235942-EA85-4617-BF3D-825DA21B584E}" keepAlive="1" name="Запрос — fvCheckFloatRange" description="Соединение с запросом &quot;fvCheckFloatRange&quot; в книге." type="5" refreshedVersion="0" background="1">
    <dbPr connection="Provider=Microsoft.Mashup.OleDb.1;Data Source=$Workbook$;Location=fvCheckFloatRange;Extended Properties=&quot;&quot;" command="SELECT * FROM [fvCheckFloatRange]"/>
  </connection>
  <connection id="22" xr16:uid="{111BE1CA-D942-460D-83A5-BFCA256230EF}" keepAlive="1" name="Запрос — fvCheckID_2" description="Соединение с запросом &quot;fvCheckID_2&quot; в книге." type="5" refreshedVersion="0" background="1">
    <dbPr connection="Provider=Microsoft.Mashup.OleDb.1;Data Source=$Workbook$;Location=fvCheckID_2;Extended Properties=&quot;&quot;" command="SELECT * FROM [fvCheckID_2]"/>
  </connection>
  <connection id="23" xr16:uid="{89030697-5D70-44AE-BD78-ED69A03C2CDC}" keepAlive="1" name="Запрос — fvCheckINN_LLC" description="Соединение с запросом &quot;fvCheckINN_LLC&quot; в книге." type="5" refreshedVersion="0" background="1">
    <dbPr connection="Provider=Microsoft.Mashup.OleDb.1;Data Source=$Workbook$;Location=fvCheckINN_LLC;Extended Properties=&quot;&quot;" command="SELECT * FROM [fvCheckINN_LLC]"/>
  </connection>
  <connection id="24" xr16:uid="{C98FA24B-B50B-49EE-B3BE-EEADC1FB3C52}" keepAlive="1" name="Запрос — fvCheckINN_Personal" description="Соединение с запросом &quot;fvCheckINN_Personal&quot; в книге." type="5" refreshedVersion="0" background="1">
    <dbPr connection="Provider=Microsoft.Mashup.OleDb.1;Data Source=$Workbook$;Location=fvCheckINN_Personal;Extended Properties=&quot;&quot;" command="SELECT * FROM [fvCheckINN_Personal]"/>
  </connection>
  <connection id="25" xr16:uid="{0CECA61C-4058-4AE1-B2B1-14E26BBE73FE}" keepAlive="1" name="Запрос — fvCheckInteger" description="Соединение с запросом &quot;fvCheckInteger&quot; в книге." type="5" refreshedVersion="0" background="1">
    <dbPr connection="Provider=Microsoft.Mashup.OleDb.1;Data Source=$Workbook$;Location=fvCheckInteger;Extended Properties=&quot;&quot;" command="SELECT * FROM [fvCheckInteger]"/>
  </connection>
  <connection id="26" xr16:uid="{5796186F-CB70-43C4-933A-424F84C676B0}" keepAlive="1" name="Запрос — fvCheckIntegerRange" description="Соединение с запросом &quot;fvCheckIntegerRange&quot; в книге." type="5" refreshedVersion="0" background="1">
    <dbPr connection="Provider=Microsoft.Mashup.OleDb.1;Data Source=$Workbook$;Location=fvCheckIntegerRange;Extended Properties=&quot;&quot;" command="SELECT * FROM [fvCheckIntegerRange]"/>
  </connection>
  <connection id="27" xr16:uid="{1F0B29A6-33DD-42A0-B218-39BC28872046}" keepAlive="1" name="Запрос — fvCheckKPP" description="Соединение с запросом &quot;fvCheckKPP&quot; в книге." type="5" refreshedVersion="0" background="1">
    <dbPr connection="Provider=Microsoft.Mashup.OleDb.1;Data Source=$Workbook$;Location=fvCheckKPP;Extended Properties=&quot;&quot;" command="SELECT * FROM [fvCheckKPP]"/>
  </connection>
  <connection id="28" xr16:uid="{9928A786-61F9-42EC-B3AA-92DDA7B28D25}" keepAlive="1" name="Запрос — fvCheckNonEmpty" description="Соединение с запросом &quot;fvCheckNonEmpty&quot; в книге." type="5" refreshedVersion="0" background="1">
    <dbPr connection="Provider=Microsoft.Mashup.OleDb.1;Data Source=$Workbook$;Location=fvCheckNonEmpty;Extended Properties=&quot;&quot;" command="SELECT * FROM [fvCheckNonEmpty]"/>
  </connection>
  <connection id="29" xr16:uid="{AD415652-5141-4A14-8ADB-02AFE8BAD715}" keepAlive="1" name="Запрос — fvCheckPassportNumber" description="Соединение с запросом &quot;fvCheckPassportNumber&quot; в книге." type="5" refreshedVersion="0" background="1">
    <dbPr connection="Provider=Microsoft.Mashup.OleDb.1;Data Source=$Workbook$;Location=fvCheckPassportNumber;Extended Properties=&quot;&quot;" command="SELECT * FROM [fvCheckPassportNumber]"/>
  </connection>
  <connection id="30" xr16:uid="{EE30D2C4-CAFF-4A24-A8B2-4986F34B6417}" keepAlive="1" name="Запрос — fvCheckPassportSeries" description="Соединение с запросом &quot;fvCheckPassportSeries&quot; в книге." type="5" refreshedVersion="0" background="1">
    <dbPr connection="Provider=Microsoft.Mashup.OleDb.1;Data Source=$Workbook$;Location=fvCheckPassportSeries;Extended Properties=&quot;&quot;" command="SELECT * FROM [fvCheckPassportSeries]"/>
  </connection>
  <connection id="31" xr16:uid="{A0709AE1-9470-4BF0-B77D-840B4287E9EE}" keepAlive="1" name="Запрос — fvCheckPassportUnitCode" description="Соединение с запросом &quot;fvCheckPassportUnitCode&quot; в книге." type="5" refreshedVersion="0" background="1">
    <dbPr connection="Provider=Microsoft.Mashup.OleDb.1;Data Source=$Workbook$;Location=fvCheckPassportUnitCode;Extended Properties=&quot;&quot;" command="SELECT * FROM [fvCheckPassportUnitCode]"/>
  </connection>
  <connection id="32" xr16:uid="{F9742020-A499-4D83-8B9A-B81ACADA7321}" keepAlive="1" name="Запрос — fvCheckPhone" description="Соединение с запросом &quot;fvCheckPhone&quot; в книге." type="5" refreshedVersion="0" background="1">
    <dbPr connection="Provider=Microsoft.Mashup.OleDb.1;Data Source=$Workbook$;Location=fvCheckPhone;Extended Properties=&quot;&quot;" command="SELECT * FROM [fvCheckPhone]"/>
  </connection>
  <connection id="33" xr16:uid="{9A780C01-E366-4BC1-94BD-32CF3E8F5F78}" keepAlive="1" name="Запрос — fvCheckSNILS" description="Соединение с запросом &quot;fvCheckSNILS&quot; в книге." type="5" refreshedVersion="0" background="1">
    <dbPr connection="Provider=Microsoft.Mashup.OleDb.1;Data Source=$Workbook$;Location=fvCheckSNILS;Extended Properties=&quot;&quot;" command="SELECT * FROM [fvCheckSNILS]"/>
  </connection>
  <connection id="34" xr16:uid="{D38F85A7-B21A-4DCD-9EC9-74D68A079C53}" keepAlive="1" name="Запрос — fvCheckTextLength" description="Соединение с запросом &quot;fvCheckTextLength&quot; в книге." type="5" refreshedVersion="0" background="1">
    <dbPr connection="Provider=Microsoft.Mashup.OleDb.1;Data Source=$Workbook$;Location=fvCheckTextLength;Extended Properties=&quot;&quot;" command="SELECT * FROM [fvCheckTextLength]"/>
  </connection>
  <connection id="35" xr16:uid="{223BF67F-28BF-444F-99F8-C7B3AD7834B6}" keepAlive="1" name="Запрос — ProcessingTable" description="Соединение с запросом &quot;ProcessingTable&quot; в книге." type="5" refreshedVersion="0" background="1" saveData="1">
    <dbPr connection="Provider=Microsoft.Mashup.OleDb.1;Data Source=$Workbook$;Location=ProcessingTable;Extended Properties=&quot;&quot;" command="SELECT * FROM [ProcessingTable]"/>
  </connection>
  <connection id="36" xr16:uid="{A8A1F686-081A-4454-8018-EA79119BA536}" keepAlive="1" name="Запрос — Project" description="Соединение с запросом &quot;Project&quot; в книге." type="5" refreshedVersion="8" background="1" saveData="1">
    <dbPr connection="Provider=Microsoft.Mashup.OleDb.1;Data Source=$Workbook$;Location=Project;Extended Properties=&quot;&quot;" command="SELECT * FROM [Project]"/>
  </connection>
  <connection id="37" xr16:uid="{34EDC940-1C31-4EEA-8AAE-C03C35AA29E2}" keepAlive="1" name="Запрос — sourceTable_TabCorporationList" description="Соединение с запросом &quot;sourceTable_TabCorporationList&quot; в книге." type="5" refreshedVersion="0" background="1">
    <dbPr connection="Provider=Microsoft.Mashup.OleDb.1;Data Source=$Workbook$;Location=sourceTable_TabCorporationList;Extended Properties=&quot;&quot;" command="SELECT * FROM [sourceTable_TabCorporationList]"/>
  </connection>
  <connection id="38" xr16:uid="{8B90939D-13E3-466C-B012-06D4D6E61D64}" keepAlive="1" name="Запрос — sourceTable_TabCounterpartyList" description="Соединение с запросом &quot;sourceTable_TabCounterpartyList&quot; в книге." type="5" refreshedVersion="0" background="1">
    <dbPr connection="Provider=Microsoft.Mashup.OleDb.1;Data Source=$Workbook$;Location=sourceTable_TabCounterpartyList;Extended Properties=&quot;&quot;" command="SELECT * FROM [sourceTable_TabCounterpartyList]"/>
  </connection>
  <connection id="39" xr16:uid="{9C9D0C37-4DFB-4C8C-8B2B-A86E688D3CA9}" keepAlive="1" name="Запрос — sourceTable_TabProjectList" description="Соединение с запросом &quot;sourceTable_TabProjectList&quot; в книге." type="5" refreshedVersion="0" background="1">
    <dbPr connection="Provider=Microsoft.Mashup.OleDb.1;Data Source=$Workbook$;Location=sourceTable_TabProjectList;Extended Properties=&quot;&quot;" command="SELECT * FROM [sourceTable_TabProjectList]"/>
  </connection>
  <connection id="40" xr16:uid="{BC5B7CDA-8708-4531-8C9C-C1970EE852B5}" keepAlive="1" name="Запрос — sourceTable_TabSupplier" description="Соединение с запросом &quot;sourceTable_TabSupplier&quot; в книге." type="5" refreshedVersion="0" background="1">
    <dbPr connection="Provider=Microsoft.Mashup.OleDb.1;Data Source=$Workbook$;Location=sourceTable_TabSupplier;Extended Properties=&quot;&quot;" command="SELECT * FROM [sourceTable_TabSupplier]"/>
  </connection>
  <connection id="41" xr16:uid="{10D73F9E-1E59-46C3-AD94-AD71BDDE9054}" keepAlive="1" name="Запрос — sourceTable_TabUnits" description="Соединение с запросом &quot;sourceTable_TabUnits&quot; в книге." type="5" refreshedVersion="0" background="1">
    <dbPr connection="Provider=Microsoft.Mashup.OleDb.1;Data Source=$Workbook$;Location=sourceTable_TabUnits;Extended Properties=&quot;&quot;" command="SELECT * FROM [sourceTable_TabUnits]"/>
  </connection>
  <connection id="42" xr16:uid="{FA83B3C6-85E9-43A8-B844-E178EAA98115}" keepAlive="1" name="Запрос — sourceTable_TabVendorAndBrand" description="Соединение с запросом &quot;sourceTable_TabVendorAndBrand&quot; в книге." type="5" refreshedVersion="0" background="1">
    <dbPr connection="Provider=Microsoft.Mashup.OleDb.1;Data Source=$Workbook$;Location=sourceTable_TabVendorAndBrand;Extended Properties=&quot;&quot;" command="SELECT * FROM [sourceTable_TabVendorAndBrand]"/>
  </connection>
  <connection id="43" xr16:uid="{89FD8298-0B16-4A16-8DBD-7158CFEC59B3}" keepAlive="1" name="Запрос — sourceWorkbook_TabCorporationList" description="Соединение с запросом &quot;sourceWorkbook_TabCorporationList&quot; в книге." type="5" refreshedVersion="0" background="1">
    <dbPr connection="Provider=Microsoft.Mashup.OleDb.1;Data Source=$Workbook$;Location=sourceWorkbook_TabCorporationList;Extended Properties=&quot;&quot;" command="SELECT * FROM [sourceWorkbook_TabCorporationList]"/>
  </connection>
  <connection id="44" xr16:uid="{B9C085AB-66B6-4964-A907-048D7684635D}" keepAlive="1" name="Запрос — sourceWorkbook_TabCounterpartyList" description="Соединение с запросом &quot;sourceWorkbook_TabCounterpartyList&quot; в книге." type="5" refreshedVersion="0" background="1">
    <dbPr connection="Provider=Microsoft.Mashup.OleDb.1;Data Source=$Workbook$;Location=sourceWorkbook_TabCounterpartyList;Extended Properties=&quot;&quot;" command="SELECT * FROM [sourceWorkbook_TabCounterpartyList]"/>
  </connection>
  <connection id="45" xr16:uid="{DC5F5DFD-29E0-4AA7-B426-0C4D269E52C0}" keepAlive="1" name="Запрос — sourceWorkbook_TabProjectList" description="Соединение с запросом &quot;sourceWorkbook_TabProjectList&quot; в книге." type="5" refreshedVersion="0" background="1">
    <dbPr connection="Provider=Microsoft.Mashup.OleDb.1;Data Source=$Workbook$;Location=sourceWorkbook_TabProjectList;Extended Properties=&quot;&quot;" command="SELECT * FROM [sourceWorkbook_TabProjectList]"/>
  </connection>
  <connection id="46" xr16:uid="{897FD406-E423-46AF-A1C5-EB4EFCB546A6}" keepAlive="1" name="Запрос — sourceWorkbook_TabSupplier" description="Соединение с запросом &quot;sourceWorkbook_TabSupplier&quot; в книге." type="5" refreshedVersion="0" background="1">
    <dbPr connection="Provider=Microsoft.Mashup.OleDb.1;Data Source=$Workbook$;Location=sourceWorkbook_TabSupplier;Extended Properties=&quot;&quot;" command="SELECT * FROM [sourceWorkbook_TabSupplier]"/>
  </connection>
  <connection id="47" xr16:uid="{CB2626B7-F328-42F9-86F5-66A2FFB98084}" keepAlive="1" name="Запрос — sourceWorkbook_TabUnits" description="Соединение с запросом &quot;sourceWorkbook_TabUnits&quot; в книге." type="5" refreshedVersion="0" background="1">
    <dbPr connection="Provider=Microsoft.Mashup.OleDb.1;Data Source=$Workbook$;Location=sourceWorkbook_TabUnits;Extended Properties=&quot;&quot;" command="SELECT * FROM [sourceWorkbook_TabUnits]"/>
  </connection>
  <connection id="48" xr16:uid="{5615E901-E814-4CC8-B2E9-BA6C95E6980A}" keepAlive="1" name="Запрос — sourceWorkbook_TabVendorAndBrand" description="Соединение с запросом &quot;sourceWorkbook_TabVendorAndBrand&quot; в книге." type="5" refreshedVersion="0" background="1">
    <dbPr connection="Provider=Microsoft.Mashup.OleDb.1;Data Source=$Workbook$;Location=sourceWorkbook_TabVendorAndBrand;Extended Properties=&quot;&quot;" command="SELECT * FROM [sourceWorkbook_TabVendorAndBrand]"/>
  </connection>
  <connection id="49" xr16:uid="{59CE3BEF-5D81-4274-B820-44C98B7F43A4}" keepAlive="1" name="Запрос — Supplier" description="Соединение с запросом &quot;Supplier&quot; в книге." type="5" refreshedVersion="8" background="1" saveData="1">
    <dbPr connection="Provider=Microsoft.Mashup.OleDb.1;Data Source=$Workbook$;Location=Supplier;Extended Properties=&quot;&quot;" command="SELECT * FROM [Supplier]"/>
  </connection>
  <connection id="50" xr16:uid="{43537CE4-1C97-4568-9E1E-8A49854FAC2A}" keepAlive="1" name="Запрос — Units" description="Соединение с запросом &quot;Units&quot; в книге." type="5" refreshedVersion="8" background="1" saveData="1">
    <dbPr connection="Provider=Microsoft.Mashup.OleDb.1;Data Source=$Workbook$;Location=Units;Extended Properties=&quot;&quot;" command="SELECT * FROM [Units]"/>
  </connection>
  <connection id="51" xr16:uid="{2720F50E-F6AD-466B-A4E5-4327A55BA699}" keepAlive="1" name="Запрос — UtilsFunctionScalar" description="Соединение с запросом &quot;UtilsFunctionScalar&quot; в книге." type="5" refreshedVersion="0" background="1">
    <dbPr connection="Provider=Microsoft.Mashup.OleDb.1;Data Source=$Workbook$;Location=UtilsFunctionScalar;Extended Properties=&quot;&quot;" command="SELECT * FROM [UtilsFunctionScalar]"/>
  </connection>
  <connection id="52" xr16:uid="{B73A073B-49A7-47BF-8243-1424C48F3227}" keepAlive="1" name="Запрос — UtilsFunctionVector" description="Соединение с запросом &quot;UtilsFunctionVector&quot; в книге." type="5" refreshedVersion="0" background="1">
    <dbPr connection="Provider=Microsoft.Mashup.OleDb.1;Data Source=$Workbook$;Location=UtilsFunctionVector;Extended Properties=&quot;&quot;" command="SELECT * FROM [UtilsFunctionVector]"/>
  </connection>
  <connection id="53" xr16:uid="{7DB205A0-E9EB-469F-B7AD-140B4F689337}" keepAlive="1" name="Запрос — VendorAndBrand" description="Соединение с запросом &quot;VendorAndBrand&quot; в книге." type="5" refreshedVersion="8" background="1" saveData="1">
    <dbPr connection="Provider=Microsoft.Mashup.OleDb.1;Data Source=$Workbook$;Location=VendorAndBrand;Extended Properties=&quot;&quot;" command="SELECT * FROM [VendorAndBrand]"/>
  </connection>
  <connection id="54" xr16:uid="{F4F5C14C-3CE1-4676-BB6E-59D256E975D8}" keepAlive="1" name="Запрос — Вызванная функцияProcessingTable" description="Соединение с запросом &quot;Вызванная функцияProcessingTable&quot; в книге." type="5" refreshedVersion="8" background="1" saveData="1">
    <dbPr connection="Provider=Microsoft.Mashup.OleDb.1;Data Source=$Workbook$;Location=&quot;Вызванная функцияProcessingTable&quot;;Extended Properties=&quot;&quot;" command="SELECT * FROM [Вызванная функцияProcessingTable]"/>
  </connection>
  <connection id="55" xr16:uid="{3FD17BF8-C9CE-4741-824E-B925E562B4FC}" keepAlive="1" name="Запрос — Вызванная функцияProcessingTable (6)" description="Соединение с запросом &quot;Вызванная функцияProcessingTable (6)&quot; в книге." type="5" refreshedVersion="8" background="1" saveData="1">
    <dbPr connection="Provider=Microsoft.Mashup.OleDb.1;Data Source=$Workbook$;Location=&quot;Вызванная функцияProcessingTable (6)&quot;;Extended Properties=&quot;&quot;" command="SELECT * FROM [Вызванная функцияProcessingTable (6)]"/>
  </connection>
</connections>
</file>

<file path=xl/metadata.xml><?xml version="1.0" encoding="utf-8"?>
<metadata xmlns="http://schemas.openxmlformats.org/spreadsheetml/2006/main" xmlns:xda="http://schemas.microsoft.com/office/spreadsheetml/2017/dynamicarray">
  <metadataTypes count="2">
    <metadataType name="XLDAPR" minSupportedVersion="120000" copy="1" pasteAll="1" pasteValues="1" merge="1" splitFirst="1" rowColShift="1" clearFormats="1" clearComments="1" assign="1" coerce="1" cellMeta="1"/>
    <metadataType name="XLMDX" minSupportedVersion="120000" copy="1" pasteAll="1" pasteValues="1" merge="1" splitFirst="1" rowColShift="1" clearFormats="1" clearComments="1" assign="1" coerce="1"/>
  </metadataTypes>
  <metadataStrings count="4">
    <s v="ThisWorkbookDataModel"/>
    <s v="{[TabSpecificationWork_1].[NUM FULL SET].&amp;[1.1],[TabSpecificationWork_1].[NUM FULL SET].&amp;[1.2],[TabSpecificationWork_1].[NUM FULL SET].&amp;[2.1],[TabSpecificationWork_1].[NUM FULL SET].&amp;[2.2],[TabSpecificationWork_1].[NUM FULL SET].&amp;[2.3],[TabSpecificationWork_1].[NUM FULL SET].&amp;[2.4],[TabSpecificationWork_1].[NUM FULL SET].&amp;[2.5],[TabSpecificationWork_1].[NUM FULL SET].&amp;[3.1],[TabSpecificationWork_1].[NUM FULL SET].&amp;[3.2],[TabSpecificationWork_1].[NUM FULL SET].&amp;[3.3],[TabSpecificationWork_1].[NUM FULL SET].&amp;[3.4],[TabSpecificationWork_1].[NUM FULL SET].&amp;[3.5],[TabSpecificationWork_1].[NUM FULL SET].&amp;[3.6],[TabSpecificationWork_1].[NUM FULL SET].&amp;[4.1],[TabSpecificationWork_1].[NUM FULL SET].&amp;[4.2],[TabSpecificationWork_1].[NUM FULL SET].&amp;[4.3],[TabSpecificationWork_1].[NUM FULL SET].&amp;[4.4],[TabSpecificationWork_1].[NUM FULL SET].&amp;[4.6],[TabSpecificationWork_1].[NUM FULL SET].&amp;[5.1]}"/>
    <s v="{[TabSpecificationWork_1].[isSHIPPED].[All]}"/>
    <s v="{[TabSpecificationWork_1].[NUM PROJECT].&amp;[1/2024-N3-ГОРИЗОНТ]}"/>
  </metadataStrings>
  <mdxMetadata count="3">
    <mdx n="0" f="s">
      <ms ns="1" c="0"/>
    </mdx>
    <mdx n="0" f="s">
      <ms ns="2" c="0"/>
    </mdx>
    <mdx n="0" f="s">
      <ms ns="3" c="0"/>
    </mdx>
  </mdxMetadata>
  <futureMetadata name="XLDAPR" count="1">
    <bk>
      <extLst>
        <ext uri="{bdbb8cdc-fa1e-496e-a857-3c3f30c029c3}">
          <xda:dynamicArrayProperties fDynamic="1" fCollapsed="0"/>
        </ext>
      </extLst>
    </bk>
  </futureMetadata>
  <cellMetadata count="1">
    <bk>
      <rc t="1" v="0"/>
    </bk>
  </cellMetadata>
  <valueMetadata count="3">
    <bk>
      <rc t="2" v="0"/>
    </bk>
    <bk>
      <rc t="2" v="1"/>
    </bk>
    <bk>
      <rc t="2" v="2"/>
    </bk>
  </valueMetadata>
</metadata>
</file>

<file path=xl/sharedStrings.xml><?xml version="1.0" encoding="utf-8"?>
<sst xmlns="http://schemas.openxmlformats.org/spreadsheetml/2006/main" count="1956" uniqueCount="602">
  <si>
    <t>IDnum</t>
  </si>
  <si>
    <t>IDsource</t>
  </si>
  <si>
    <t>NUM PROJECT</t>
  </si>
  <si>
    <t>NUM ORDER</t>
  </si>
  <si>
    <t>VER COLLECTION</t>
  </si>
  <si>
    <t>DESCRIPTION SET</t>
  </si>
  <si>
    <t>IDset</t>
  </si>
  <si>
    <t>NUM SEQUENCE SET</t>
  </si>
  <si>
    <t>NUM FULL SET</t>
  </si>
  <si>
    <t>isSHIPPED</t>
  </si>
  <si>
    <t>HASH COLLECTION</t>
  </si>
  <si>
    <t>NAME PRODUCT</t>
  </si>
  <si>
    <t>DESCRIPTION PRODUCT</t>
  </si>
  <si>
    <t>BRAND</t>
  </si>
  <si>
    <t>SUPPLIER</t>
  </si>
  <si>
    <t>ARTICLE SUPPLIER</t>
  </si>
  <si>
    <t>ARTICLE INTERNAL</t>
  </si>
  <si>
    <t>UNITS</t>
  </si>
  <si>
    <t>QUANTITY SET</t>
  </si>
  <si>
    <t>QUANTITY SHIPPED SET</t>
  </si>
  <si>
    <t>QUANTITY TOTAL</t>
  </si>
  <si>
    <t>QUANTITY SUPPLIER</t>
  </si>
  <si>
    <t>PRICE UNIT $PURCHASE</t>
  </si>
  <si>
    <t>COST PRICE $PURCHASE</t>
  </si>
  <si>
    <t>TCP SOURCE</t>
  </si>
  <si>
    <t>COMMENT WORK</t>
  </si>
  <si>
    <t>URL PRODUCT</t>
  </si>
  <si>
    <t>IMAGE PRODUCT</t>
  </si>
  <si>
    <t>1/2024-N4-ГОРИЗОНТ</t>
  </si>
  <si>
    <t>true</t>
  </si>
  <si>
    <t>Коммутатор L3, OS3228</t>
  </si>
  <si>
    <t>ORIGO</t>
  </si>
  <si>
    <t>OCS</t>
  </si>
  <si>
    <t>шт</t>
  </si>
  <si>
    <t>Комплект модулей для активного сетевого оборудования</t>
  </si>
  <si>
    <t>false</t>
  </si>
  <si>
    <t>D-Link</t>
  </si>
  <si>
    <t>ДССЛ</t>
  </si>
  <si>
    <t>Модуль SFP с интерфейсом RJ45, до 100м</t>
  </si>
  <si>
    <t>SNR</t>
  </si>
  <si>
    <t>НАГ</t>
  </si>
  <si>
    <t>Cabeus</t>
  </si>
  <si>
    <t>ОнЛайн Трейд</t>
  </si>
  <si>
    <t>Lanmaster</t>
  </si>
  <si>
    <t>ЛУИС+ Самара</t>
  </si>
  <si>
    <t>NVIDIA</t>
  </si>
  <si>
    <t>noname</t>
  </si>
  <si>
    <t>1/2024-N3-ГОРИЗОНТ</t>
  </si>
  <si>
    <t>Коммутатор Huawei S6730-H48X6C</t>
  </si>
  <si>
    <t>Сетевая карта LR-Link OCP 3.0 2 порта 100G QSFP28 LRES3026PF-OCP</t>
  </si>
  <si>
    <t>Модуль 100G QSFP28 AOC, дальность до 3м</t>
  </si>
  <si>
    <t>Модуль SFP LX 20км (14dB)</t>
  </si>
  <si>
    <t>Модуль SFP+ оптический, дальность до 2км (9dB), 1310нм</t>
  </si>
  <si>
    <t>1/2024-N2-ГОРИЗОНТ</t>
  </si>
  <si>
    <t>Gigabyte</t>
  </si>
  <si>
    <t>Киберкуб</t>
  </si>
  <si>
    <t>1/2024-N5-ГОРИЗОНТ</t>
  </si>
  <si>
    <t xml:space="preserve">VER COLLECTION </t>
  </si>
  <si>
    <t>COEFFICIENT MARKUP</t>
  </si>
  <si>
    <t>PRICE UNIT $SALE</t>
  </si>
  <si>
    <t>COST DEAL $SALE</t>
  </si>
  <si>
    <t>DISCOUNT PERCENT</t>
  </si>
  <si>
    <t>DISCOUNT MONEY</t>
  </si>
  <si>
    <t>FORMULA SPECIFIC COST</t>
  </si>
  <si>
    <t>PRICE UNIT $TOTAL</t>
  </si>
  <si>
    <t>COST $TOTAL</t>
  </si>
  <si>
    <t>DURATION SALE $TOTAL</t>
  </si>
  <si>
    <t>isSUPPLIED</t>
  </si>
  <si>
    <t>isPROCESSING</t>
  </si>
  <si>
    <t>COMMENT CUSTOMER</t>
  </si>
  <si>
    <t>4</t>
  </si>
  <si>
    <t>3</t>
  </si>
  <si>
    <t>2.1</t>
  </si>
  <si>
    <t>4.1</t>
  </si>
  <si>
    <t>2</t>
  </si>
  <si>
    <t>1.1</t>
  </si>
  <si>
    <t>1.2</t>
  </si>
  <si>
    <t>5</t>
  </si>
  <si>
    <t>All</t>
  </si>
  <si>
    <t>(несколько элементов)</t>
  </si>
  <si>
    <t>НАИМЕНОВАНИЕ ПОЗИЦИИ</t>
  </si>
  <si>
    <t>Сумма по столбцу QUANTITY TOTAL</t>
  </si>
  <si>
    <t>Сумма по столбцу COST PRICE $PURCHASE</t>
  </si>
  <si>
    <t>Комплект активного сетевого оборудования</t>
  </si>
  <si>
    <t>Общий итог</t>
  </si>
  <si>
    <t>IDprojectfull</t>
  </si>
  <si>
    <t>GENERAL CONTRACTOR</t>
  </si>
  <si>
    <t>PROJECT CHIEF ENGINEER</t>
  </si>
  <si>
    <t>1/2022-N1-МАС</t>
  </si>
  <si>
    <t>none</t>
  </si>
  <si>
    <t>2/2022-N1-МАС</t>
  </si>
  <si>
    <t>3/2022-N1-МАС</t>
  </si>
  <si>
    <t>4/2022-N1-МАС</t>
  </si>
  <si>
    <t>5/2022-N1-МАС</t>
  </si>
  <si>
    <t>6/2022-N1-МАС</t>
  </si>
  <si>
    <t>7/2022-N1-МАС</t>
  </si>
  <si>
    <t>8/2022-N1-МАС</t>
  </si>
  <si>
    <t>9/2022-N1-МАС</t>
  </si>
  <si>
    <t>10/2022-N1-МАС</t>
  </si>
  <si>
    <t>11/2022-N1-МАС</t>
  </si>
  <si>
    <t>12/2022-N1-МАС</t>
  </si>
  <si>
    <t>13/2022-N1-МАС</t>
  </si>
  <si>
    <t>14/2022-N1-МАС</t>
  </si>
  <si>
    <t>15/2022-N1-МАС</t>
  </si>
  <si>
    <t>16/2022-N1-МАС</t>
  </si>
  <si>
    <t>17/2022-N1-МАС</t>
  </si>
  <si>
    <t>18/2022-N1-МАС</t>
  </si>
  <si>
    <t>19/2022-N1-МАС</t>
  </si>
  <si>
    <t>20/2022-N1-МАС</t>
  </si>
  <si>
    <t>21/2022-N1-МАС</t>
  </si>
  <si>
    <t>11/2023-N0-МАС</t>
  </si>
  <si>
    <t>29/2024-N0-МАС</t>
  </si>
  <si>
    <t>1/2024-N0-ГОРИЗОНТ</t>
  </si>
  <si>
    <t>2/2024-N0-ГОРИЗОНТ</t>
  </si>
  <si>
    <t>2/2024-N0-МАС</t>
  </si>
  <si>
    <t>1/2023-N1-МАС</t>
  </si>
  <si>
    <t>2/2023-N1-МАС</t>
  </si>
  <si>
    <t>3/2023-N1-МАС</t>
  </si>
  <si>
    <t>4/2023-N1-МАС</t>
  </si>
  <si>
    <t>5/2023-N1-МАС</t>
  </si>
  <si>
    <t>6/2023-N1-МАС</t>
  </si>
  <si>
    <t>7/2023-N1-МАС</t>
  </si>
  <si>
    <t>8/2023-N1-ГОРИЗОНТ</t>
  </si>
  <si>
    <t>9/2023-N1-ГОРИЗОНТ</t>
  </si>
  <si>
    <t>10/2023-N1-МАС</t>
  </si>
  <si>
    <t>12/2023-N1-МАС</t>
  </si>
  <si>
    <t>12/2023-N1-ГОРИЗОНТ</t>
  </si>
  <si>
    <t>13/2023-N1-МАС</t>
  </si>
  <si>
    <t>14/2023-N1-МАС</t>
  </si>
  <si>
    <t>15/2023-N1-МАС</t>
  </si>
  <si>
    <t>16/2023-N1-МАС</t>
  </si>
  <si>
    <t>5/2024-N1-МАС</t>
  </si>
  <si>
    <t>1/2024-N1-ГОРИЗОНТ</t>
  </si>
  <si>
    <t>2/2024-N1-МАС</t>
  </si>
  <si>
    <t>3/2024-N1-МАС</t>
  </si>
  <si>
    <t>4/2024-N1-МАС</t>
  </si>
  <si>
    <t>5/2024-N2-МАС</t>
  </si>
  <si>
    <t>6/2024-N1-МАС</t>
  </si>
  <si>
    <t>7/2024-N1-МАС</t>
  </si>
  <si>
    <t>Каргаполова Мария Петровна</t>
  </si>
  <si>
    <t>8/2024-N1-МАС</t>
  </si>
  <si>
    <t>9/2024-N1-МАС</t>
  </si>
  <si>
    <t>10/2024-N1-МАС</t>
  </si>
  <si>
    <t>11/2024-N1-МАС</t>
  </si>
  <si>
    <t>12/2024-N1-МАС</t>
  </si>
  <si>
    <t>13/2024-N1-МАС</t>
  </si>
  <si>
    <t>14/2024-N1-МАС</t>
  </si>
  <si>
    <t>15/2024-N1-МАС</t>
  </si>
  <si>
    <t>16/2024-N1-МАС</t>
  </si>
  <si>
    <t>17/2024-N1-МАС</t>
  </si>
  <si>
    <t>18/2024-N1-МАС</t>
  </si>
  <si>
    <t>19/2024-N1-МАС</t>
  </si>
  <si>
    <t>20/2024-N1-МАС</t>
  </si>
  <si>
    <t>21/2024-N1-МАС</t>
  </si>
  <si>
    <t>22/2024-N1-МАС</t>
  </si>
  <si>
    <t>23/2024-N1-МАС</t>
  </si>
  <si>
    <t>24/2024-N1-МАС</t>
  </si>
  <si>
    <t>25/2024-N1-МАС</t>
  </si>
  <si>
    <t>1/2025-N1-МАС</t>
  </si>
  <si>
    <t>26/2024-N1-МАС</t>
  </si>
  <si>
    <t>1/2025-N1-ГОРИЗОНТ</t>
  </si>
  <si>
    <t>27/2024-N1-ГОРИЗОНТ</t>
  </si>
  <si>
    <t>28/2024-N1-МАС</t>
  </si>
  <si>
    <t>17/2023-N1-МАС</t>
  </si>
  <si>
    <t>3/2024-N1-ГОРИЗОНТ</t>
  </si>
  <si>
    <t>2/2025-N1-КУКУШКИН ИВАН НИКОЛАЕВИЧ</t>
  </si>
  <si>
    <t>2/2025-N1-ГОРИЗОНТ</t>
  </si>
  <si>
    <t>3/2025-N1-ГОРИЗОНТ</t>
  </si>
  <si>
    <t>4/2025-N0-ГОРИЗОНТ</t>
  </si>
  <si>
    <t>4/2025-N1-ГОРИЗОНТ</t>
  </si>
  <si>
    <t>5/2025-N1-ГОРИЗОНТ</t>
  </si>
  <si>
    <t>5/2025-N0-ГОРИЗОНТ</t>
  </si>
  <si>
    <t>6/2025-N1-МАС</t>
  </si>
  <si>
    <t>7/2025-N1-МАС</t>
  </si>
  <si>
    <t>8/2025-N0-МАС</t>
  </si>
  <si>
    <t>9/2025-N0-КУКУШКИН ИВАН НИКОЛАЕВИЧ</t>
  </si>
  <si>
    <t>9/2025-N1-КУКУШКИН ИВАН НИКОЛАЕВИЧ</t>
  </si>
  <si>
    <t>10/2025-N1-ГОРИЗОНТ</t>
  </si>
  <si>
    <t>11/2025-N0-ГОРИЗОНТ</t>
  </si>
  <si>
    <t>11/2025-N1-ГОРИЗОНТ</t>
  </si>
  <si>
    <t>12/2025-N0-МАС</t>
  </si>
  <si>
    <t>3/2024-N0-ГОРИЗОНТ</t>
  </si>
  <si>
    <t>12/2025-N1-МАС</t>
  </si>
  <si>
    <t>13/2025-N1-МАС</t>
  </si>
  <si>
    <t>14/2025-N1-ГОРИЗОНТ</t>
  </si>
  <si>
    <t>29/2024-N1-МАС</t>
  </si>
  <si>
    <t>15/2025-N0-КУКУШКИН ИВАН НИКОЛАЕВИЧ</t>
  </si>
  <si>
    <t>5/2024-N3-МАС</t>
  </si>
  <si>
    <t>Северсталь</t>
  </si>
  <si>
    <t>10/2024-N0-КУКУШКИН ИВАН НИКОЛАЕВИЧ</t>
  </si>
  <si>
    <t>10/2024-N1-КУКУШКИН ИВАН НИКОЛАЕВИЧ</t>
  </si>
  <si>
    <t>10/2024-N2-КУКУШКИН ИВАН НИКОЛАЕВИЧ</t>
  </si>
  <si>
    <t>10/2024-N3-КУКУШКИН ИВАН НИКОЛАЕВИЧ</t>
  </si>
  <si>
    <t>10/2024-N4-КУКУШКИН ИВАН НИКОЛАЕВИЧ</t>
  </si>
  <si>
    <t>10/2024-N5-КУКУШКИН ИВАН НИКОЛАЕВИЧ</t>
  </si>
  <si>
    <t>10/2024-N6-КУКУШКИН ИВАН НИКОЛАЕВИЧ</t>
  </si>
  <si>
    <t>Кукушкин Иван Николаевич</t>
  </si>
  <si>
    <t>16/2025-N1-МАС</t>
  </si>
  <si>
    <t>Маяк Производственное Объединение</t>
  </si>
  <si>
    <t>17/2025-N1-ГОРИЗОНТ</t>
  </si>
  <si>
    <t>18/2025-N0-МАС</t>
  </si>
  <si>
    <t>ТЦ Базис</t>
  </si>
  <si>
    <t>19/2025-N0-ГОРИЗОНТ</t>
  </si>
  <si>
    <t>20/2025-N0-КУКУШКИН ИВАН НИКОЛАЕВИЧ</t>
  </si>
  <si>
    <t>21/2025-N0-МАС</t>
  </si>
  <si>
    <t>21/2025-N1-МАС</t>
  </si>
  <si>
    <t>22/2025-N0-МАС</t>
  </si>
  <si>
    <t>22/2025-N1-МАС</t>
  </si>
  <si>
    <t>23/2025-N1-МАС</t>
  </si>
  <si>
    <t>Точные машины</t>
  </si>
  <si>
    <t>24/2025-N1-МАС</t>
  </si>
  <si>
    <t>25/2025-N0-МАС</t>
  </si>
  <si>
    <t>25/2025-N1-МАС</t>
  </si>
  <si>
    <t>IDvendor</t>
  </si>
  <si>
    <t>Амперка</t>
  </si>
  <si>
    <t>Знаток</t>
  </si>
  <si>
    <t>Pitsco</t>
  </si>
  <si>
    <t>Arduino</t>
  </si>
  <si>
    <t>Feetech</t>
  </si>
  <si>
    <t>61mcu</t>
  </si>
  <si>
    <t>DFRobot</t>
  </si>
  <si>
    <t>Yahboom</t>
  </si>
  <si>
    <t>Hipe</t>
  </si>
  <si>
    <t>Iarduino</t>
  </si>
  <si>
    <t>LiitoKala</t>
  </si>
  <si>
    <t>Sharp</t>
  </si>
  <si>
    <t>МАСОР</t>
  </si>
  <si>
    <t>МЭЛТ</t>
  </si>
  <si>
    <t>Kingbright</t>
  </si>
  <si>
    <t xml:space="preserve">Texas Instruments </t>
  </si>
  <si>
    <t>Philips</t>
  </si>
  <si>
    <t>Epcos</t>
  </si>
  <si>
    <t>WeMos</t>
  </si>
  <si>
    <t>LG</t>
  </si>
  <si>
    <t>FlySky</t>
  </si>
  <si>
    <t>Nanopix</t>
  </si>
  <si>
    <t xml:space="preserve">Racerstar </t>
  </si>
  <si>
    <t>DJI</t>
  </si>
  <si>
    <t>AKK Technology</t>
  </si>
  <si>
    <t>Eachine</t>
  </si>
  <si>
    <t>Happymodel</t>
  </si>
  <si>
    <t>BETAFPV</t>
  </si>
  <si>
    <t>HQProp</t>
  </si>
  <si>
    <t>Gaoneng</t>
  </si>
  <si>
    <t>Dinogy</t>
  </si>
  <si>
    <t>Bringsmart</t>
  </si>
  <si>
    <t>SkyRC</t>
  </si>
  <si>
    <t>Hyperline</t>
  </si>
  <si>
    <t xml:space="preserve">Waveshare </t>
  </si>
  <si>
    <t>Raspberry PI</t>
  </si>
  <si>
    <t>ClimateGuard</t>
  </si>
  <si>
    <t>Sciosense</t>
  </si>
  <si>
    <t>Samsung</t>
  </si>
  <si>
    <t>Элком+</t>
  </si>
  <si>
    <t>NSGate</t>
  </si>
  <si>
    <t>Kingston</t>
  </si>
  <si>
    <t>SanDisk</t>
  </si>
  <si>
    <t>DIATONE INNOVATIONS</t>
  </si>
  <si>
    <t>BrotherHobby</t>
  </si>
  <si>
    <t>HAKRC</t>
  </si>
  <si>
    <t>DM-RC</t>
  </si>
  <si>
    <t>Readytosky</t>
  </si>
  <si>
    <t>AirParts</t>
  </si>
  <si>
    <t>RadioMaster</t>
  </si>
  <si>
    <t xml:space="preserve">	Rush</t>
  </si>
  <si>
    <t>TBS</t>
  </si>
  <si>
    <t>Radiomaster</t>
  </si>
  <si>
    <t>Foxeer</t>
  </si>
  <si>
    <t>GepRC</t>
  </si>
  <si>
    <t>SpeedyBee</t>
  </si>
  <si>
    <t>Caddx</t>
  </si>
  <si>
    <t>Flywoo</t>
  </si>
  <si>
    <t>Gemfan</t>
  </si>
  <si>
    <t>Xiaomi</t>
  </si>
  <si>
    <t>Горизонт</t>
  </si>
  <si>
    <t>ISA</t>
  </si>
  <si>
    <t>STMicroelectronics</t>
  </si>
  <si>
    <t>Hiper</t>
  </si>
  <si>
    <t xml:space="preserve">Orange </t>
  </si>
  <si>
    <t>Hoco</t>
  </si>
  <si>
    <t>ОКЛИК</t>
  </si>
  <si>
    <t>Baseus</t>
  </si>
  <si>
    <t>Huawei</t>
  </si>
  <si>
    <t>LR-Link</t>
  </si>
  <si>
    <t>MikroTik</t>
  </si>
  <si>
    <t>Яндекс</t>
  </si>
  <si>
    <t>Sonoff</t>
  </si>
  <si>
    <t>Aqara</t>
  </si>
  <si>
    <t>Spruthub</t>
  </si>
  <si>
    <t>Tfortis</t>
  </si>
  <si>
    <t>NIKOMAX</t>
  </si>
  <si>
    <t>МАС</t>
  </si>
  <si>
    <t>IDsupplier</t>
  </si>
  <si>
    <t>COMPANY_LABEL</t>
  </si>
  <si>
    <t>РоботБаза</t>
  </si>
  <si>
    <t>ОЗОН</t>
  </si>
  <si>
    <t>Амперкот</t>
  </si>
  <si>
    <t>Supereyes</t>
  </si>
  <si>
    <t>Platan</t>
  </si>
  <si>
    <t>Robotclass</t>
  </si>
  <si>
    <t>Вольтмастер</t>
  </si>
  <si>
    <t>Fixfly</t>
  </si>
  <si>
    <t>ХоббиРу</t>
  </si>
  <si>
    <t>МИНИБОТ</t>
  </si>
  <si>
    <t>Паркфлаер</t>
  </si>
  <si>
    <t>RC-TODAY.RU</t>
  </si>
  <si>
    <t>PLUS3</t>
  </si>
  <si>
    <t>IP-mania</t>
  </si>
  <si>
    <t>X-models</t>
  </si>
  <si>
    <t>RcDrive</t>
  </si>
  <si>
    <t>RC-GO.RU</t>
  </si>
  <si>
    <t>Air-hobby.ru</t>
  </si>
  <si>
    <t>RCcopter.ru</t>
  </si>
  <si>
    <t>MyDrone</t>
  </si>
  <si>
    <t>CompactTool</t>
  </si>
  <si>
    <t>RoboShop</t>
  </si>
  <si>
    <t>Duino</t>
  </si>
  <si>
    <t>Умные модули</t>
  </si>
  <si>
    <t>Город карт</t>
  </si>
  <si>
    <t>Robot-kit</t>
  </si>
  <si>
    <t>18650pro.ru</t>
  </si>
  <si>
    <t>ДНС</t>
  </si>
  <si>
    <t>Ситилинк</t>
  </si>
  <si>
    <t>OnPad</t>
  </si>
  <si>
    <t>Альбитех</t>
  </si>
  <si>
    <t>Чип и Дип</t>
  </si>
  <si>
    <t>Parts Direct</t>
  </si>
  <si>
    <t>кп</t>
  </si>
  <si>
    <t>чел/час</t>
  </si>
  <si>
    <t>этап</t>
  </si>
  <si>
    <t>TABLE NAME</t>
  </si>
  <si>
    <t>NUM COLUMN</t>
  </si>
  <si>
    <t>СOLUMNS NAME</t>
  </si>
  <si>
    <t>COLUMN NAME RUS</t>
  </si>
  <si>
    <t>TYPE DATASET</t>
  </si>
  <si>
    <t>RANGE VALUES</t>
  </si>
  <si>
    <t>UNIQUE FLAG</t>
  </si>
  <si>
    <t>NULL VALUE</t>
  </si>
  <si>
    <t>isAUTOMATIC</t>
  </si>
  <si>
    <t>MODIFY FLAG</t>
  </si>
  <si>
    <t>HANDBOOK SOURCE</t>
  </si>
  <si>
    <t>DROPDOWN LIST</t>
  </si>
  <si>
    <t>EXCEL TYPE</t>
  </si>
  <si>
    <t>VERTICAL ALIGNMENT</t>
  </si>
  <si>
    <t>HORIZONTAL ALIGNMENT</t>
  </si>
  <si>
    <t>TRANSFER TEXT</t>
  </si>
  <si>
    <t>COMMENT</t>
  </si>
  <si>
    <t>TabSpecificationWork_1</t>
  </si>
  <si>
    <t>№ п/п</t>
  </si>
  <si>
    <t>int</t>
  </si>
  <si>
    <t>[1, 300]</t>
  </si>
  <si>
    <t>Числовой</t>
  </si>
  <si>
    <t>center</t>
  </si>
  <si>
    <t>Уникальный порядковый номер позиции</t>
  </si>
  <si>
    <t>№ ИСХ</t>
  </si>
  <si>
    <t>Порядковый номер позиции из спецификации заказчика</t>
  </si>
  <si>
    <t>№ ПРОЕКТА</t>
  </si>
  <si>
    <t>text</t>
  </si>
  <si>
    <t>[13, 25]</t>
  </si>
  <si>
    <t>TabProjectList</t>
  </si>
  <si>
    <t>Текстовый</t>
  </si>
  <si>
    <t>Полный номер проекта из таблицы реестр проектов</t>
  </si>
  <si>
    <t>НОМЕР ЗАКАЗА ПРОЕКТА</t>
  </si>
  <si>
    <t>[1, 100]</t>
  </si>
  <si>
    <t>Номер заказа в рамках проекта. Автоматически вычисляется средствами Excel при выбранном номере проектав столбце 'NUM PROJECT'</t>
  </si>
  <si>
    <t>ВЕРСИЯ КОЛЛЕКЦИИ</t>
  </si>
  <si>
    <t>[1, 50]</t>
  </si>
  <si>
    <r>
      <t xml:space="preserve">Версия коллекции - число. Под </t>
    </r>
    <r>
      <rPr>
        <b/>
        <sz val="11"/>
        <color theme="1"/>
        <rFont val="Calibri"/>
        <family val="2"/>
        <charset val="204"/>
        <scheme val="minor"/>
      </rPr>
      <t>КОЛЛЕКЦИЕЙ</t>
    </r>
    <r>
      <rPr>
        <sz val="11"/>
        <color theme="1"/>
        <rFont val="Calibri"/>
        <family val="2"/>
        <charset val="204"/>
        <scheme val="minor"/>
      </rPr>
      <t xml:space="preserve"> понимается объект данных который описывает стока, она же одна запись датасета</t>
    </r>
  </si>
  <si>
    <t>ОПИСАНИЕ КОМПЛЕКТА</t>
  </si>
  <si>
    <t>[5, 300]</t>
  </si>
  <si>
    <t>up</t>
  </si>
  <si>
    <t>left</t>
  </si>
  <si>
    <t>Название комплекта</t>
  </si>
  <si>
    <t>ИДЕНТИФИКАТОР КОМПЛЕКТА</t>
  </si>
  <si>
    <t>Свободный (число или текст - латиницей) идентификатор комплекта</t>
  </si>
  <si>
    <t>ПОРЯДКОВЫЙ НОМЕР В КОМПЛЕКТЕ</t>
  </si>
  <si>
    <t>Порядковый номер позиции в комплекте</t>
  </si>
  <si>
    <t>ПОЛНЫЙ ИДЕНТИФИКАТОР КОЛЛЕКЦИИ</t>
  </si>
  <si>
    <t>[3, 5]</t>
  </si>
  <si>
    <t>Общий</t>
  </si>
  <si>
    <t>Полный порядковый номер позиции, состоящий из номер комплекта и номера порядкового в комплекте</t>
  </si>
  <si>
    <t>ПРИЗНАК ПОСТАВКИ ПОЗИЦИИ</t>
  </si>
  <si>
    <t>[4, 5]</t>
  </si>
  <si>
    <t>Признак поставки позиции в данном заказе</t>
  </si>
  <si>
    <t>ХЭШ КОЛЛЕКЦИИ</t>
  </si>
  <si>
    <t>Уникальное хэш значение, характеризуемое текущую коллекцию</t>
  </si>
  <si>
    <t>НАИМЕНОВАНИЕ</t>
  </si>
  <si>
    <t>[3, 300]</t>
  </si>
  <si>
    <t>Наименование позиции</t>
  </si>
  <si>
    <t>ОПИСАНИЕ/ХАРАКТЕРИСТИКИ</t>
  </si>
  <si>
    <t>[10, 1000]</t>
  </si>
  <si>
    <t>Технические характеристики позиции</t>
  </si>
  <si>
    <t>БРЕНД</t>
  </si>
  <si>
    <t>[3, 50]</t>
  </si>
  <si>
    <t>TableVendorAndBrand</t>
  </si>
  <si>
    <t>Название бренда производителя из справочника</t>
  </si>
  <si>
    <t>ПОСТАВЩИК</t>
  </si>
  <si>
    <t>TabSupplier</t>
  </si>
  <si>
    <t>Название поставщика из справочника</t>
  </si>
  <si>
    <t>АРТИКУЛ ПОСТАВЩИК</t>
  </si>
  <si>
    <t>Артикул поставщика</t>
  </si>
  <si>
    <t>АРТИКУЛ МАС</t>
  </si>
  <si>
    <t>Артикул МАС</t>
  </si>
  <si>
    <t>ЕД ИЗМ</t>
  </si>
  <si>
    <t>[0, 2]</t>
  </si>
  <si>
    <t>TabUnits</t>
  </si>
  <si>
    <t>Единицы измерения из справочника</t>
  </si>
  <si>
    <t>КОЛИЧЕСТВО В КОМПЛЕКТЕ</t>
  </si>
  <si>
    <t>Количество единиц данной позиции в комплекте</t>
  </si>
  <si>
    <t>КОМПЛЕКТОВ В ПОСТАВКЕ</t>
  </si>
  <si>
    <t>Количество комплектов в поставке</t>
  </si>
  <si>
    <t>КОЛИЧЕСТВО ИТОГО</t>
  </si>
  <si>
    <t>Итоговое количество по данной позиции в поставке</t>
  </si>
  <si>
    <t>КОЛИЧЕСТВО У ПОСТАВ-КА</t>
  </si>
  <si>
    <t>[0, 999]</t>
  </si>
  <si>
    <t>Количество в наличии у поставщика</t>
  </si>
  <si>
    <t>float</t>
  </si>
  <si>
    <t>down</t>
  </si>
  <si>
    <t>right</t>
  </si>
  <si>
    <t>Цена за единицу - закупка</t>
  </si>
  <si>
    <t>[1, 5000000]</t>
  </si>
  <si>
    <t>ТКП ПОСТАВЩИКА</t>
  </si>
  <si>
    <t>[7, 1000]</t>
  </si>
  <si>
    <t>TabTCPSupplier</t>
  </si>
  <si>
    <t>Идентификатор спецификации поставщика/дистрибьютера, на основе которой сформирована цена позиции. Из справочника ТКП поставщиков</t>
  </si>
  <si>
    <t>ПРИМЕЧАНИЕ РАБОЧЕЕ</t>
  </si>
  <si>
    <t>[7, 3000]</t>
  </si>
  <si>
    <t>Комментарии внутренний - ТОЛЬКО ДЛЯ ВНУТРЕННЕГО СЛУЖЕБНОГО ПОЛЬЗОВАНИЯ. Полезная, дополнительная информация по позиции в свободной форме</t>
  </si>
  <si>
    <t>ССЫЛКА НА ПРОДУКТ</t>
  </si>
  <si>
    <t>Прямая ссылка на позицию на сайте производителя/поставщика</t>
  </si>
  <si>
    <t>ИЗОБРАЖЕНИЕ ТМЦ</t>
  </si>
  <si>
    <t>Ссылка на изображение</t>
  </si>
  <si>
    <t>TabSpecificationWork_2</t>
  </si>
  <si>
    <t>КОЭФФИЦИЕНТ НАЦЕНКИ</t>
  </si>
  <si>
    <t>[1, 10]</t>
  </si>
  <si>
    <t>Коэффициент наценки</t>
  </si>
  <si>
    <t>ЦЕНА ЗА ЕД. $РЕАЛИЗАЦИЯ</t>
  </si>
  <si>
    <t>Цена за единицу - реализация</t>
  </si>
  <si>
    <t>СТОИМОСТЬ $РЕАЛИЗАЦИЯ</t>
  </si>
  <si>
    <t>Стоимость - реализация</t>
  </si>
  <si>
    <t>СКИДКА %</t>
  </si>
  <si>
    <t>[0, 70]</t>
  </si>
  <si>
    <t>Скидка в процентах</t>
  </si>
  <si>
    <t>СКИДКА В РУБЛЯХ</t>
  </si>
  <si>
    <t>Скидка в рублях</t>
  </si>
  <si>
    <t>СПЕЦИФИЧЕСКИЙ РАСЧЕТ СТОИМОСТИ</t>
  </si>
  <si>
    <t>[0, 300]</t>
  </si>
  <si>
    <t>Колонка зарезервирована для будущих изменений в методиках рассчета цены/стоимости</t>
  </si>
  <si>
    <t>ЦЕНА ЗА ЕД. $ИТОГ</t>
  </si>
  <si>
    <t>Итоговая цена по позиции - реализация</t>
  </si>
  <si>
    <t>СТОИМОСТЬ $ИТОГ</t>
  </si>
  <si>
    <t>[1, 10000000]</t>
  </si>
  <si>
    <t>Итоговая стоимость по позиции - реализация</t>
  </si>
  <si>
    <t>ДЛИТЕЛЬНОСТЬ РЕАЛИЗАЦИИ $ИТОГ</t>
  </si>
  <si>
    <t>Длительность в календарных днях реализации товара или услуги</t>
  </si>
  <si>
    <t>ПРИЗНАК ПОЗИЦИИ В ПОСТАВКЕ</t>
  </si>
  <si>
    <t>Признак закупки позиции в данном заказе</t>
  </si>
  <si>
    <t>ПРИЗНАК ПОСТ ОБРАБОТКИ</t>
  </si>
  <si>
    <t xml:space="preserve">Признак  пост-модификации коммерческих данных данной коллекции </t>
  </si>
  <si>
    <t>ПРИМЕЧАНИЕ ЗАКАЗЧИК</t>
  </si>
  <si>
    <t>[0, 3000]</t>
  </si>
  <si>
    <t>IDconfig</t>
  </si>
  <si>
    <t>CONFIG_JSON</t>
  </si>
  <si>
    <t>RunLeftJOIN_tab1_tab2</t>
  </si>
  <si>
    <t>{
        "TabSpecificationWork_1": {
                "1": {
                        "RunLeftJOINstructure": []
                }
        },
        "TabSpecificationWork_2": {
                "1": {}
        }
}</t>
  </si>
  <si>
    <t>Конфигурация выполняет объединение  "TabSpecificationWork_1" и "TabSpecificationWork_2", для получение полной таблицы "TabSpecificationWork"</t>
  </si>
  <si>
    <t>26/2025-N1-ГОРИЗОНТ</t>
  </si>
  <si>
    <t>27/2025-N0-МАС</t>
  </si>
  <si>
    <t>Кукушкин И.Н.</t>
  </si>
  <si>
    <t>4/2025-N2-ГОРИЗОНТ</t>
  </si>
  <si>
    <t>25/2025-N2-МАС</t>
  </si>
  <si>
    <t>21/2025-N2-МАС</t>
  </si>
  <si>
    <t>28/2025-N1-МАС</t>
  </si>
  <si>
    <t>25/2025-N3-МАС</t>
  </si>
  <si>
    <t>27/2025-N1-МАС</t>
  </si>
  <si>
    <t>1/2026-N1-МАС</t>
  </si>
  <si>
    <t>1/2026-N1-ГОРИЗОНТ</t>
  </si>
  <si>
    <t>VAT ADD PRICE $PURCHASE</t>
  </si>
  <si>
    <t>VAT RATE CONTRACTOR $TOTAL</t>
  </si>
  <si>
    <t>VAT ADD PRICE UNIT $TOTAL</t>
  </si>
  <si>
    <t>PRICE VAT UNIT $TOTAL</t>
  </si>
  <si>
    <t>COST ADD VAT $TOTAL</t>
  </si>
  <si>
    <t>COST VAT $TOTAL</t>
  </si>
  <si>
    <t>[0, 2000000]</t>
  </si>
  <si>
    <t>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
  </si>
  <si>
    <t>Ставка НДС исполнителя (0.22 для ГОРИЗОНТ; 0.00 для МАС/ИП)</t>
  </si>
  <si>
    <t>СТАВКА НДС, ИСПОЛНИТЕЛЯ</t>
  </si>
  <si>
    <t>[0, 22]</t>
  </si>
  <si>
    <t>[1, 25000000]</t>
  </si>
  <si>
    <t>[1, 240]</t>
  </si>
  <si>
    <t>НДС, ДОПОЛНИТЕЛЬНО К ЦЕНЕ $ИТОГ</t>
  </si>
  <si>
    <t>Исходящий НДС на ед. - реализация</t>
  </si>
  <si>
    <t>ЦЕНА ЗА ЕД., С НДС $ИТОГ</t>
  </si>
  <si>
    <t>Цена с НДС за ед. - реализация</t>
  </si>
  <si>
    <t>НДС, ДОПОЛНИТЕЛЬНО К СТОИМОСТИ $ИТОГ</t>
  </si>
  <si>
    <t>СТОИМОСТЬ, С НДС $ИТОГ</t>
  </si>
  <si>
    <t>Стоимость с НДС - реализация</t>
  </si>
  <si>
    <t>1</t>
  </si>
  <si>
    <t/>
  </si>
  <si>
    <t>8/2026-N1-ГОРИЗОНТ</t>
  </si>
  <si>
    <t>Инжиниринг проектный - КР</t>
  </si>
  <si>
    <t>Проектирование модуля размещения электронных компонентов ПТК</t>
  </si>
  <si>
    <t>Проектирование узла коммутации сети ~230 В</t>
  </si>
  <si>
    <t>Проектирование металлоконструкции модуля, предназначенного для подключения к Изделию сети переменного тока ~230 В, вынос модуля  в зону доступности  персонала,  интеграция в модуль автоматического выключателя в соответствии с ПУЭ, заземляющего контакта.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</si>
  <si>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Проектирование интегрированного узла крепления LCD touch дисплея, хаба АСУ ВУ, RFID и QR считывателя</t>
  </si>
  <si>
    <t>Проектирование металлоконструкции модуля, предназначенного для создания интегрированного узла крепления HMI компонентов - LCD touch дисплея, хаба АСУ ВУ, RFID и QR считывателя. Данный модуль предназначен для замены крепления существующего моноблока. Модуль ( при соответствующем подборе размера LCD дисплея) устанавливается в нишу Двери №2 (правая дверь) в освободившийся проем.
Состав работ:
- анализ существующего пространства для размещения модуля;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модуля.</t>
  </si>
  <si>
    <t>Разработка эскизов общего вида Изделия</t>
  </si>
  <si>
    <t>Разработка основных видов Изделия с размерами.  Состав работ:
- анализ геометрии и конструкционных особенностей Изделия;
- обмер основных внешних и внутренних размеров конструкции Изделия;
- создание упрощенной 3D модели изделия;
- разработка 3D проекта;
- разработка комплекта КД.
 Результатом работ по этапу является:
 - комплект КД.</t>
  </si>
  <si>
    <t>Проектирование транспортировочной тары</t>
  </si>
  <si>
    <t>Разработка транспортировочной тары и элементов защиты внутренних компонентов Изделия критичных к механическим воздействиям. Состав работ:
- анализ геометрии и конструкционных особенностей Изделия;
- изучение существующих решений;
- создание упрощенной 3D модели компонентов подлежащих защите;
- разработка 3D проекта;
- разработка комплекта КД.
 Результатом работ по этапу является:
 - комплект КД с инструкцией для производства тары.</t>
  </si>
  <si>
    <t>6</t>
  </si>
  <si>
    <t>Проектирование кронштейна и бокса  для внешнего размещения HMI - LCD touch дисплея, хаба АСУ ВУ, RFID и QR считывателя</t>
  </si>
  <si>
    <t>Проектирование кронштейна и бокса, предназначенного для внешнего размещения HMI компонентов - LCD touch дисплея, хаба АСУ ВУ, RFID и QR считывателя. Данный модуль предназначен для всех моделей вендинговых аппаратов у которых невозможно или нежелательно внутренее, интегрированное размещение HMI. Состав работ:
- анализ существующего существующих решений;
- обмер электронных компонентов;
- создание упрощенной 3D модели электронных  компонентов;
- разработка 3D проекта;
- разработка комплекта КД.
 Результатом работ по этапу является:
 - комплект КД для изготовления кронштейна и бокса.</t>
  </si>
  <si>
    <t>7</t>
  </si>
  <si>
    <t>Проведение конструкторской и технологической оценки переноса (изменение) точек крепления колес</t>
  </si>
  <si>
    <t>8</t>
  </si>
  <si>
    <t>Проектирование кронштейна  камер видеонаблюдения</t>
  </si>
  <si>
    <t>Проектирование 2-х моделей кронштейна крепления IP камер 1-го типа (видеофиксация выдачи ТМЦ)  2-го типа (свободный мониторинг).
Состав работ:
- анализ конструкции потенциальных точек крепления;
- анализ допустимых трас Ethernet кабеля;
- анализ типов крепления современных IP камер;
- создание упрощенной 3D модели компонентов;
- разработка 3D проекта;
- разработка комплекта КД.
 Результатом работ по этапу является:
 - комплект КД для изготовления кронштейнов.</t>
  </si>
  <si>
    <t>9</t>
  </si>
  <si>
    <t>Проектирование двери спиральной секции т 2-х приемников ТМЦ</t>
  </si>
  <si>
    <t>Проектирование металлоконструкции Двери №1 (дверь доступа к спиральной секции), с учетом удаления лифта и статического крепления 2-х корзин выдачи ТМЦ.
Состав работ:
- анализ конструкции существующей двер и узлов лифта;
- анализ существующих сенсоров и актуаторов Двери №1;
- разработка 3D проекта;
- разработка комплекта КД.
 Результатом работ по этапу является:
 - комплект КД для изготовления двери и корзин лифта.</t>
  </si>
  <si>
    <t>5/2026-N1-ГОРИЗОНТ</t>
  </si>
  <si>
    <t>4/2026-N1-ГОРИЗОНТ</t>
  </si>
  <si>
    <t>Марви</t>
  </si>
  <si>
    <t>6/2023-N0-МАС</t>
  </si>
  <si>
    <t>6/2023-N3-МАС</t>
  </si>
  <si>
    <t>6/2023-N4-МАС</t>
  </si>
  <si>
    <t>29/2024-N2-МАС</t>
  </si>
  <si>
    <t>29/2024-N3-МАС</t>
  </si>
  <si>
    <t>2/2025-N0-МАС</t>
  </si>
  <si>
    <t>2/2025-N1-МАС</t>
  </si>
  <si>
    <t>2/2025-N2-МАС</t>
  </si>
  <si>
    <t>6/2024-N0-МАС</t>
  </si>
  <si>
    <t>6/2024-N2-МАС</t>
  </si>
  <si>
    <t>21/2025-N3-МАС</t>
  </si>
  <si>
    <t>21/2025-N4-МАС</t>
  </si>
  <si>
    <t>21/2025-N5-МАС</t>
  </si>
  <si>
    <t>21/2025-N6-МАС</t>
  </si>
  <si>
    <t>21/2025-N7-МАС</t>
  </si>
  <si>
    <t>21/2025-N8-МАС</t>
  </si>
  <si>
    <t>25/2025-N4-МАС</t>
  </si>
  <si>
    <t>25/2025-N5-МАС</t>
  </si>
  <si>
    <t>25/2025-N6-МАС</t>
  </si>
  <si>
    <t>29/2024-N4-МАС</t>
  </si>
  <si>
    <t>2/2026-N1-МАС</t>
  </si>
  <si>
    <t>5/2024-N4-МАС</t>
  </si>
  <si>
    <t>27/2025-N2-МАС</t>
  </si>
  <si>
    <t>29/2024-N5-МАС</t>
  </si>
  <si>
    <t>27/2025-N3-МАС</t>
  </si>
  <si>
    <t>27/2025-N4-МАС</t>
  </si>
  <si>
    <t>12/2025-N2-МАС</t>
  </si>
  <si>
    <t>12/2025-N3-МАС</t>
  </si>
  <si>
    <t>12/2025-N4-МАС</t>
  </si>
  <si>
    <t>3/2026-N1-ГОРИЗОНТ</t>
  </si>
  <si>
    <t>Фонд содействия инновациям</t>
  </si>
  <si>
    <t>6/2026-N1-ГОРИЗОНТ</t>
  </si>
  <si>
    <t>7/2026-N1-ГОРИЗОНТ</t>
  </si>
  <si>
    <t>8/2026-N0-ГОРИЗОНТ</t>
  </si>
  <si>
    <t>8/2026-N2-ГОРИЗОНТ</t>
  </si>
  <si>
    <t>1/2026-N2-МАС</t>
  </si>
  <si>
    <t>СЕБЕСТОИМОСТЬ $ЗАКУПКА</t>
  </si>
  <si>
    <t>ВХОДЯЩИЙ НДС ЗА ЕД. $ЗАКУПКА</t>
  </si>
  <si>
    <t>ЦЕНА ЗА ЕД. $ЗАКУПКА</t>
  </si>
  <si>
    <t>СЕБЕСТОИМОСТЬ С НДС $ЗАКУПКА</t>
  </si>
  <si>
    <t>COST PRICE VAT $PURCHASE</t>
  </si>
  <si>
    <t>Себестоимость без НДС - закупка</t>
  </si>
  <si>
    <t>Себестоимость с НДС - закупка</t>
  </si>
  <si>
    <t>Итоговая НДС по позиции - реализация</t>
  </si>
  <si>
    <t xml:space="preserve">Проведение инженерного анализа текущей конструкции Изделия в точках крепления колес. Цель - оценка возможного решения которое позволит увеличить межосевое расстояние левой и правой пар колес (вдоль длинной стороны Изделия).
Состав работ:
- инженерный анализ текущей конструкции аппарата в точках крепления колес;
- анализ конструкции колес
- оценка вариантов смещения крепления колес.
 Результатом работ по этапу является:
 - отчет о возможности проведения конструкторсских работ, с кратким описанием технологии решения задачи, а также оценкой стоимости и сроков выполнения работ.
</t>
  </si>
  <si>
    <t>Проектирование металлоконструкции модуля, предназначенного для размещения модулей электроники ПТК Изделия. Состав работ:
- анализ существующего пространства для размещения электроники;
- обмер электронных компонентов ПТК;
- создание упрощенной 3D модели электронных  компонентов ПТК;
- разработка 3D проекта;
- разработка комплекта КД.
 Результатом работ по этапу является:
 - комплект КД для изготовления модуля.</t>
  </si>
  <si>
    <t>8/2026-n1-горизонт-ver_1-set_1.1-true</t>
  </si>
  <si>
    <t>8/2026-n1-горизонт-ver_1-set_1.2-true</t>
  </si>
  <si>
    <t>1.3</t>
  </si>
  <si>
    <t>8/2026-n1-горизонт-ver_1-set_1.3-true</t>
  </si>
  <si>
    <t>1.4</t>
  </si>
  <si>
    <t>8/2026-n1-горизонт-ver_1-set_1.4-true</t>
  </si>
  <si>
    <t>1.5</t>
  </si>
  <si>
    <t>8/2026-n1-горизонт-ver_1-set_1.5-true</t>
  </si>
  <si>
    <t>8/2026-n1-горизонт-ver_1-set_2.1-false</t>
  </si>
  <si>
    <t>1.6</t>
  </si>
  <si>
    <t>8/2026-n1-горизонт-ver_1-set_1.6-true</t>
  </si>
  <si>
    <t>1.7</t>
  </si>
  <si>
    <t>8/2026-n1-горизонт-ver_1-set_1.7-true</t>
  </si>
  <si>
    <t>8/2026-n1-горизонт-ver_1-set_4.1-false</t>
  </si>
  <si>
    <t>DSL - конфигурация предназначена для генерации 'to customer fin' спецификации в соответствии с новыми командами  и требованиями ETL процессора версии - 'rev.05 v02' а также она (конфигурация) явялется разновидность 'type 4' таких спецификаций (см документацию HorizonBI). Днная спецификация не КАСТОМНАЯ (!) это 'база', не предназначенная под конкретный проект, но содержащая основные элменты обработки, трансформации, фильтрации и валидации.</t>
  </si>
  <si>
    <t>gen-spec-to_customer_fin-base</t>
  </si>
  <si>
    <t>[0, 500000]</t>
  </si>
  <si>
    <t>[20, 20]</t>
  </si>
  <si>
    <t>00-000-0000-000-0000</t>
  </si>
  <si>
    <t>Позиция - проектно-конструкторские работы</t>
  </si>
  <si>
    <t>[32, 55]</t>
  </si>
  <si>
    <t>№</t>
  </si>
  <si>
    <t>ЕД ИЗМ.</t>
  </si>
  <si>
    <t>КОЛ-ВО</t>
  </si>
  <si>
    <t>ЦЕНА БЕЗ НДС, руб</t>
  </si>
  <si>
    <t>СТОИМОСТЬ БЕЗ НДС, руб</t>
  </si>
  <si>
    <t>НДС, руб</t>
  </si>
  <si>
    <t>ДЛИТЕЛЬНОСТЬ, КАЛ. ДНЕЙ</t>
  </si>
  <si>
    <t>{
  "TabSpecificationWork": {
    "1": {
      "ValidationData": [
        { "StrictBlock": true },
        { "IDnum": { "fvCheckID": [] } },
        { "NUM PROJECT": { "fvCheckNonEmpty": [], "fvCheckTextLength": [13, 25] } },
        { "NUM ORDER": { "fvCheckNonEmpty": [], "fvCheckIntegerRange": [1, 100] } },
        { "VER COLLECTION": { "fvCheckNonEmpty": [], "fvCheckIntegerRange": [1, 50], "fvCheckSpecUniqueVer": [] } },
        { "DESCRIPTION SET": { "fvCheckNonEmpty": [], "fvCheckTextLength": [5, 300] } },
        { "IDset": { "fvCheckNonEmpty": [], "fvCheckTextLength": [1, 50] } },
        { "NUM SEQUENCE SET": { "fvCheckNonEmpty": [], "fvCheckIntegerRange": [1, 50] } },
        { "NUM FULL SET": { "fvCheckNonEmpty": [], "fvCheckTextLength": [3, 5] } },
        { "isSHIPPED": { "fvCheckNonEmpty": [], "fvCheckTextLength": [4, 5] } },
        { "HASH COLLECTION": { "fvCheckNonEmpty": [], "fvCheckTextLength": [32, 55] } },
        { "NAME PRODUCT": { "fvCheckNonEmpty": [], "fvCheckTextLength": [3, 300] } },
        { "DESCRIPTION PRODUCT": { "fvCheckNonEmpty":  [], "fvCheckTextLength": [10, 1000] } },
        { "BRAND": { "fvCheckNonEmpty": [], "fvCheckTextLength": [3, 50] } },
        { "SUPPLIER": { "fvCheckNonEmpty": [], "fvCheckTextLength": [3, 50] } },
        { "ARTICLE SUPPLIER": { "fvCheckNonEmpty": [], "fvCheckTextLength": [3, 50] } },
        { "ARTICLE INTERNAL": { "fvCheckNonEmpty": [], "fvCheckTextLength": [20, 20] } },
        { "UNITS": { "fvCheckNonEmpty": [], "fvCheckTextLength": [0, 2] } },
        { "QUANTITY SET": { "fvCheckNonEmpty": [], "fvCheckIntegerRange": [1, 50] } },
        { "QUANTITY SHIPPED SET": { "fvCheckNonEmpty": [], "fvCheckIntegerRange": [1, 50] } },
        { "QUANTITY TOTAL": { "fvCheckNonEmpty": [], "fvCheckIntegerRange": [1, 50] } },
        { "QUANTITY SUPPLIER": { "fvCheckNonEmpty": [], "fvCheckIntegerRange": [0, 999] } },
        { "PRICE UNIT $PURCHASE": { "fvCheckNonEmpty": [], "fvCheckFloatRange": [1, 5000000] } },
        { "VAT ADD PRICE $PURCHASE": { "fvCheckNonEmpty": [], "fvCheckFloatRange": [0, 2000000] } },
        { "COST PRICE $PURCHASE": { "fvCheckNonEmpty": [], "fvCheckFloatRange": [1, 10000000] } },
        { "COST PRICE VAT $PURCHASE": { "fvCheckNonEmpty": [], "fvCheckFloatRange": [1, 10000000] } },
        { "COMMENT WORK": { "fvCheckNonEmpty": [], "fvCheckTextLength": [7, 3000] } },
        { "COEFFICIENT MARKUP": { "fvCheckNonEmpty": [], "fvCheckFloatRange": [1, 10] } },
        { "PRICE UNIT $SALE": { "fvCheckNonEmpty": [], "fvCheckFloatRange": [1, 5000000] } },
        { "COST DEAL $SALE": { "fvCheckNonEmpty": [], "fvCheckFloatRange": [1, 25000000] } },
        { "DISCOUNT PERCENT": { "fvCheckNonEmpty": [], "fvCheckFloatRange": [0, 70] } },
        { "DISCOUNT MONEY": { "fvCheckNonEmpty": [], "fvCheckFloatRange": [0, 500000] } },
        { "VAT RATE CONTRACTOR $TOTAL": { "fvCheckNonEmpty": [], "fvCheckFloatRange": [0, 22] } },
        { "PRICE UNIT $TOTAL": { "fvCheckNonEmpty": [], "fvCheckFloatRange": [1, 5000000] } },
        { "VAT ADD PRICE UNIT $TOTAL": { "fvCheckNonEmpty": [], "fvCheckFloatRange": [0, 2000000] } },
        { "PRICE VAT UNIT $TOTAL": { "fvCheckNonEmpty": [], "fvCheckFloatRange": [1, 5000000] } },
        { "COST $TOTAL": { "fvCheckNonEmpty": [], "fvCheckFloatRange": [1, 25000000] } },
        { "COST ADD VAT $TOTAL": { "fvCheckNonEmpty": [], "fvCheckFloatRange": [1, 5000000] } },
        { "COST VAT $TOTAL": { "fvCheckNonEmpty": [], "fvCheckFloatRange": [1, 25000000] } },
        { "DURATION SALE $TOTAL": { "fvCheckNonEmpty": [], "fvCheckIntegerRange": [1, 240] } },
        { "isSUPPLIED": { "fvCheckNonEmpty": [], "fvCheckTextLength": [4, 5] } },
        { "isPROCESSING": { "fvCheckNonEmpty": [], "fvCheckTextLength": [4, 5] } }
      ]
    },
    "2": {
      "ColumnFilterFreeData": [
        { "NUM PROJECT": "8/2026-N1-ГОРИЗОНТ" }
      ],
      "RemoveRowAll": [
        {
          "row_1": {
            "IndexSearchColumn": "isSHIPPED",
            "IndexSearchRow": "false"
          }
        }
      ]
    },
    "3": {
      "FilterSpecMaxVer": []
    },
    "4": {
      "RemoveXorColumn": [
        "NUM FULL SET",
        "NAME PRODUCT",
        "UNITS",
        "QUANTITY TOTAL",
        "PRICE UNIT $TOTAL",
        "COST $TOTAL",
        "COST ADD VAT $TOTAL",
        "VAT RATE CONTRACTOR $TOTAL",
        "PRICE VAT UNIT $TOTAL",
        "COST VAT $TOTAL",
        "DURATION SALE $TOTAL"
      ],
      "FinancialRound": [
        {
          "rule_1": {
            "SourceQuantity": "QUANTITY TOTAL",
            "SourceBasePrice": "PRICE UNIT $TOTAL",
            "SourceVatRate": "VAT RATE CONTRACTOR $TOTAL",
            "TargetPriceNoVat": "PRICE UNIT $TOTAL",
            "TargetCostNoVat": "COST $TOTAL",
            "TargetVatSum": "COST ADD VAT $TOTAL",
            "TargetPriceVat": "PRICE VAT UNIT $TOTAL",
            "TargetCostVat": "COST VAT $TOTAL"
          }
        }
      ]
    },
    "5": {
      "RemoveXorColumn": [
        "NUM FULL SET",
        "NAME PRODUCT",
        "UNITS",
        "QUANTITY TOTAL",
        "PRICE UNIT $TOTAL",
        "COST $TOTAL",
        "COST ADD VAT $TOTAL",
        "DURATION SALE $TOTAL"
      ],
      "RenameColumn": [
        { "NUM FULL SET": "№" },
        { "NAME PRODUCT": "НАИМЕНОВАНИЕ" },
        { "UNITS": "ЕД ИЗМ." },
        { "QUANTITY TOTAL": "КОЛ-ВО" },
        { "PRICE UNIT $TOTAL": "ЦЕНА БЕЗ НДС, руб" },
        { "COST $TOTAL": "СТОИМОСТЬ БЕЗ НДС, руб" },
        { "COST ADD VAT $TOTAL": "НДС, руб" },
        { "DURATION SALE $TOTAL": "ДЛИТЕЛЬНОСТЬ, КАЛ. ДНЕЙ" }
      ]
    },
    "6": {
      "ColumnSetType": [
        { "№": "text" },
        { "НАИМЕНОВАНИЕ": "text" },
        { "ЕД ИЗМ.": "text" },
        { "КОЛ-ВО": "int" },
        { "ЦЕНА БЕЗ НДС, руб": "float" },
        { "СТОИМОСТЬ БЕЗ НДС, руб": "float" },
        { "НДС, руб": "float" },
        { "ДЛИТЕЛЬНОСТЬ, КАЛ. ДНЕЙ": "int" }
      ]
    }
  }
}</t>
  </si>
  <si>
    <t>ы</t>
  </si>
  <si>
    <t>Комментарий для - заказчика.
Свободная информация по позиции для технических спецификаций предназначенных заказчику</t>
  </si>
  <si>
    <t>Позиция - проектно-конструкторские работы.
ВНИМАНИЕ: это поле было задублировано с версией '2' с тем чтобы проверить как работает отбор по версии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</si>
</sst>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00\ _₽_-;\-* #,##0.00\ _₽_-;_-* &quot;-&quot;??\ _₽_-;_-@_-"/>
  </numFmts>
  <fonts count="23" x14ac:knownFonts="1">
    <font>
      <sz val="11"/>
      <color theme="1"/>
      <name val="Calibri"/>
      <family val="2"/>
      <charset val="204"/>
      <scheme val="minor"/>
    </font>
    <font>
      <sz val="11"/>
      <color theme="1"/>
      <name val="Calibri"/>
      <family val="2"/>
      <charset val="204"/>
      <scheme val="minor"/>
    </font>
    <font>
      <sz val="18"/>
      <color theme="3"/>
      <name val="Calibri Light"/>
      <family val="2"/>
      <charset val="204"/>
      <scheme val="maj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006100"/>
      <name val="Calibri"/>
      <family val="2"/>
      <charset val="204"/>
      <scheme val="minor"/>
    </font>
    <font>
      <sz val="11"/>
      <color rgb="FF9C0006"/>
      <name val="Calibri"/>
      <family val="2"/>
      <charset val="204"/>
      <scheme val="minor"/>
    </font>
    <font>
      <sz val="11"/>
      <color rgb="FF9C5700"/>
      <name val="Calibri"/>
      <family val="2"/>
      <charset val="204"/>
      <scheme val="minor"/>
    </font>
    <font>
      <sz val="11"/>
      <color rgb="FF3F3F76"/>
      <name val="Calibri"/>
      <family val="2"/>
      <charset val="204"/>
      <scheme val="minor"/>
    </font>
    <font>
      <b/>
      <sz val="11"/>
      <color rgb="FF3F3F3F"/>
      <name val="Calibri"/>
      <family val="2"/>
      <charset val="204"/>
      <scheme val="minor"/>
    </font>
    <font>
      <b/>
      <sz val="11"/>
      <color rgb="FFFA7D00"/>
      <name val="Calibri"/>
      <family val="2"/>
      <charset val="204"/>
      <scheme val="minor"/>
    </font>
    <font>
      <sz val="11"/>
      <color rgb="FFFA7D00"/>
      <name val="Calibri"/>
      <family val="2"/>
      <charset val="204"/>
      <scheme val="minor"/>
    </font>
    <font>
      <b/>
      <sz val="11"/>
      <color theme="0"/>
      <name val="Calibri"/>
      <family val="2"/>
      <charset val="204"/>
      <scheme val="minor"/>
    </font>
    <font>
      <sz val="11"/>
      <color rgb="FFFF0000"/>
      <name val="Calibri"/>
      <family val="2"/>
      <charset val="204"/>
      <scheme val="minor"/>
    </font>
    <font>
      <i/>
      <sz val="11"/>
      <color rgb="FF7F7F7F"/>
      <name val="Calibri"/>
      <family val="2"/>
      <charset val="204"/>
      <scheme val="minor"/>
    </font>
    <font>
      <b/>
      <sz val="11"/>
      <color theme="1"/>
      <name val="Calibri"/>
      <family val="2"/>
      <charset val="204"/>
      <scheme val="minor"/>
    </font>
    <font>
      <sz val="11"/>
      <color theme="0"/>
      <name val="Calibri"/>
      <family val="2"/>
      <charset val="204"/>
      <scheme val="minor"/>
    </font>
    <font>
      <u/>
      <sz val="11"/>
      <color theme="10"/>
      <name val="Calibri"/>
      <family val="2"/>
      <charset val="204"/>
      <scheme val="minor"/>
    </font>
    <font>
      <sz val="8"/>
      <name val="Calibri"/>
      <family val="2"/>
      <charset val="204"/>
      <scheme val="minor"/>
    </font>
    <font>
      <sz val="11"/>
      <color indexed="8"/>
      <name val="Calibri"/>
      <family val="2"/>
    </font>
    <font>
      <b/>
      <sz val="11"/>
      <color theme="0"/>
      <name val="Calibri"/>
      <family val="2"/>
    </font>
    <font>
      <sz val="11"/>
      <name val="Calibri"/>
      <family val="2"/>
      <charset val="204"/>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bgColor theme="8"/>
      </patternFill>
    </fill>
    <fill>
      <patternFill patternType="solid">
        <fgColor theme="1" tint="0.24994659260841701"/>
        <bgColor theme="8"/>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style="medium">
        <color theme="1"/>
      </top>
      <bottom style="medium">
        <color theme="1"/>
      </bottom>
      <diagonal/>
    </border>
    <border>
      <left style="dashed">
        <color auto="1"/>
      </left>
      <right style="dashed">
        <color auto="1"/>
      </right>
      <top style="dashed">
        <color auto="1"/>
      </top>
      <bottom style="dash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dashed">
        <color auto="1"/>
      </left>
      <right style="dashed">
        <color auto="1"/>
      </right>
      <top/>
      <bottom style="dashed">
        <color auto="1"/>
      </bottom>
      <diagonal/>
    </border>
    <border>
      <left style="dashed">
        <color auto="1"/>
      </left>
      <right style="hair">
        <color auto="1"/>
      </right>
      <top style="dashed">
        <color auto="1"/>
      </top>
      <bottom style="hair">
        <color auto="1"/>
      </bottom>
      <diagonal/>
    </border>
    <border>
      <left style="hair">
        <color auto="1"/>
      </left>
      <right style="hair">
        <color auto="1"/>
      </right>
      <top style="dashed">
        <color auto="1"/>
      </top>
      <bottom style="hair">
        <color auto="1"/>
      </bottom>
      <diagonal/>
    </border>
    <border>
      <left style="hair">
        <color auto="1"/>
      </left>
      <right style="dashed">
        <color auto="1"/>
      </right>
      <top style="dashed">
        <color auto="1"/>
      </top>
      <bottom style="hair">
        <color auto="1"/>
      </bottom>
      <diagonal/>
    </border>
    <border>
      <left style="dashed">
        <color auto="1"/>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style="dashed">
        <color auto="1"/>
      </right>
      <top style="hair">
        <color auto="1"/>
      </top>
      <bottom style="hair">
        <color auto="1"/>
      </bottom>
      <diagonal/>
    </border>
  </borders>
  <cellStyleXfs count="45">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43" fontId="1" fillId="0" borderId="0" applyFont="0" applyFill="0" applyBorder="0" applyAlignment="0" applyProtection="0"/>
  </cellStyleXfs>
  <cellXfs count="97">
    <xf numFmtId="0" fontId="0" fillId="0" borderId="0" xfId="0"/>
    <xf numFmtId="0" fontId="0" fillId="0" borderId="0" xfId="0" applyAlignment="1">
      <alignment horizontal="center" vertical="top"/>
    </xf>
    <xf numFmtId="49" fontId="0" fillId="0" borderId="0" xfId="0" applyNumberFormat="1"/>
    <xf numFmtId="49" fontId="0" fillId="0" borderId="0" xfId="0" applyNumberFormat="1" applyAlignment="1">
      <alignment horizontal="center" vertical="top"/>
    </xf>
    <xf numFmtId="49" fontId="0" fillId="0" borderId="0" xfId="0" applyNumberFormat="1" applyAlignment="1">
      <alignment horizontal="center" vertical="top" wrapText="1"/>
    </xf>
    <xf numFmtId="49" fontId="0" fillId="0" borderId="10" xfId="0" applyNumberFormat="1" applyBorder="1" applyAlignment="1">
      <alignment horizontal="left" vertical="top"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top" wrapText="1"/>
    </xf>
    <xf numFmtId="0" fontId="0" fillId="0" borderId="0" xfId="0" applyAlignment="1">
      <alignment horizontal="left" vertical="center"/>
    </xf>
    <xf numFmtId="0" fontId="0" fillId="0" borderId="0" xfId="0" applyAlignment="1">
      <alignment horizontal="left" indent="1"/>
    </xf>
    <xf numFmtId="49" fontId="13" fillId="34" borderId="11" xfId="0" applyNumberFormat="1" applyFont="1" applyFill="1" applyBorder="1" applyAlignment="1">
      <alignment horizontal="center" vertical="top" wrapText="1"/>
    </xf>
    <xf numFmtId="0" fontId="13" fillId="33" borderId="0" xfId="0" applyFont="1" applyFill="1" applyAlignment="1">
      <alignment horizontal="center" vertical="top" wrapText="1"/>
    </xf>
    <xf numFmtId="43" fontId="13" fillId="33" borderId="0" xfId="44" applyFont="1" applyFill="1" applyBorder="1" applyAlignment="1">
      <alignment horizontal="center" vertical="top" wrapText="1"/>
    </xf>
    <xf numFmtId="0" fontId="0" fillId="0" borderId="0" xfId="0" applyAlignment="1">
      <alignment vertical="top"/>
    </xf>
    <xf numFmtId="0" fontId="0" fillId="0" borderId="12" xfId="0" applyBorder="1" applyAlignment="1">
      <alignment horizontal="center" vertical="center"/>
    </xf>
    <xf numFmtId="0" fontId="0" fillId="0" borderId="12" xfId="0" applyBorder="1" applyAlignment="1">
      <alignment horizontal="left" vertical="center"/>
    </xf>
    <xf numFmtId="0" fontId="0" fillId="0" borderId="0" xfId="0" applyAlignment="1">
      <alignment vertical="center"/>
    </xf>
    <xf numFmtId="0" fontId="20" fillId="0" borderId="0" xfId="0" applyFont="1" applyAlignment="1">
      <alignment vertical="center" wrapText="1"/>
    </xf>
    <xf numFmtId="0" fontId="20" fillId="0" borderId="0" xfId="0" applyFont="1" applyAlignment="1">
      <alignment horizontal="left" vertical="center" indent="1"/>
    </xf>
    <xf numFmtId="49" fontId="20" fillId="0" borderId="0" xfId="0" applyNumberFormat="1" applyFont="1" applyAlignment="1">
      <alignment horizontal="left" vertical="center" indent="1"/>
    </xf>
    <xf numFmtId="49" fontId="20" fillId="0" borderId="0" xfId="0" applyNumberFormat="1" applyFont="1" applyAlignment="1">
      <alignment horizontal="center" vertical="center"/>
    </xf>
    <xf numFmtId="0" fontId="0" fillId="0" borderId="0" xfId="0" applyAlignment="1">
      <alignment horizontal="left" vertical="center" indent="1"/>
    </xf>
    <xf numFmtId="0" fontId="0" fillId="0" borderId="0" xfId="0" applyAlignment="1">
      <alignment horizontal="left" vertical="top" wrapText="1"/>
    </xf>
    <xf numFmtId="49" fontId="20" fillId="0" borderId="0" xfId="0" applyNumberFormat="1" applyFont="1" applyAlignment="1">
      <alignment horizontal="left" vertical="center" wrapText="1" indent="1"/>
    </xf>
    <xf numFmtId="0" fontId="0" fillId="0" borderId="0" xfId="0" applyAlignment="1">
      <alignment horizontal="left" vertical="center" indent="2"/>
    </xf>
    <xf numFmtId="0" fontId="22" fillId="0" borderId="0" xfId="0" applyFont="1" applyAlignment="1">
      <alignment horizontal="left" vertical="top" wrapText="1"/>
    </xf>
    <xf numFmtId="0" fontId="13" fillId="0" borderId="0" xfId="0" applyFont="1" applyAlignment="1">
      <alignment horizontal="center" vertical="top" wrapText="1"/>
    </xf>
    <xf numFmtId="0" fontId="21" fillId="0" borderId="0" xfId="0" applyFont="1" applyAlignment="1">
      <alignment horizontal="center" vertical="top" wrapText="1"/>
    </xf>
    <xf numFmtId="0" fontId="0" fillId="0" borderId="0" xfId="0" pivotButton="1" applyAlignment="1">
      <alignment vertical="top" wrapText="1"/>
    </xf>
    <xf numFmtId="43" fontId="0" fillId="0" borderId="0" xfId="44" applyFont="1" applyAlignment="1">
      <alignment vertical="top"/>
    </xf>
    <xf numFmtId="0" fontId="0" fillId="0" borderId="13" xfId="0" applyBorder="1" applyAlignment="1">
      <alignment horizontal="center" vertical="center"/>
    </xf>
    <xf numFmtId="49" fontId="0" fillId="0" borderId="14" xfId="0" applyNumberFormat="1" applyBorder="1" applyAlignment="1">
      <alignment wrapText="1"/>
    </xf>
    <xf numFmtId="0" fontId="0" fillId="0" borderId="0" xfId="0" applyAlignment="1">
      <alignment vertical="top" wrapText="1"/>
    </xf>
    <xf numFmtId="49" fontId="0" fillId="0" borderId="15" xfId="0" applyNumberFormat="1" applyBorder="1" applyAlignment="1">
      <alignment horizontal="left" vertical="top" wrapText="1"/>
    </xf>
    <xf numFmtId="0" fontId="0" fillId="0" borderId="12" xfId="0" applyBorder="1"/>
    <xf numFmtId="43" fontId="0" fillId="0" borderId="12" xfId="44" applyFont="1" applyBorder="1"/>
    <xf numFmtId="0" fontId="0" fillId="0" borderId="12" xfId="0" applyBorder="1" applyAlignment="1">
      <alignment horizontal="left" vertical="center" indent="1"/>
    </xf>
    <xf numFmtId="0" fontId="0" fillId="0" borderId="0" xfId="0" pivotButton="1"/>
    <xf numFmtId="0" fontId="0" fillId="0" borderId="0" xfId="0" pivotButton="1" applyAlignment="1">
      <alignment wrapText="1"/>
    </xf>
    <xf numFmtId="0" fontId="0" fillId="0" borderId="0" xfId="0" applyAlignment="1">
      <alignment vertical="center" wrapText="1"/>
    </xf>
    <xf numFmtId="43" fontId="0" fillId="0" borderId="0" xfId="0" applyNumberFormat="1" applyAlignment="1">
      <alignment horizontal="center" wrapText="1"/>
    </xf>
    <xf numFmtId="43" fontId="0" fillId="0" borderId="0" xfId="0" applyNumberFormat="1" applyAlignment="1">
      <alignment horizontal="center"/>
    </xf>
    <xf numFmtId="49" fontId="0" fillId="0" borderId="15" xfId="0" applyNumberFormat="1" applyBorder="1" applyAlignment="1">
      <alignment horizontal="left" vertical="center" indent="1"/>
    </xf>
    <xf numFmtId="0" fontId="0" fillId="0" borderId="12" xfId="0" applyBorder="1" applyAlignment="1">
      <alignment horizontal="left" vertical="top" wrapText="1"/>
    </xf>
    <xf numFmtId="0" fontId="0" fillId="0" borderId="12" xfId="0" applyBorder="1" applyAlignment="1">
      <alignment horizontal="center" vertical="center" wrapText="1"/>
    </xf>
    <xf numFmtId="0" fontId="0" fillId="0" borderId="12" xfId="0" applyBorder="1" applyAlignment="1">
      <alignment vertical="top" wrapText="1"/>
    </xf>
    <xf numFmtId="49" fontId="13" fillId="34" borderId="11" xfId="0" applyNumberFormat="1" applyFont="1" applyFill="1" applyBorder="1" applyAlignment="1">
      <alignment horizontal="center" vertical="center"/>
    </xf>
    <xf numFmtId="43" fontId="0" fillId="0" borderId="0" xfId="0" applyNumberFormat="1"/>
    <xf numFmtId="0" fontId="0" fillId="0" borderId="16" xfId="0" applyBorder="1" applyAlignment="1">
      <alignment horizontal="center" vertical="center"/>
    </xf>
    <xf numFmtId="0" fontId="0" fillId="0" borderId="16" xfId="0" applyBorder="1" applyAlignment="1">
      <alignment horizontal="left" vertical="top" wrapText="1"/>
    </xf>
    <xf numFmtId="0" fontId="0" fillId="0" borderId="16" xfId="0" applyBorder="1" applyAlignment="1">
      <alignment horizontal="center" vertical="center" wrapText="1"/>
    </xf>
    <xf numFmtId="43" fontId="0" fillId="0" borderId="16" xfId="44" applyFont="1" applyBorder="1"/>
    <xf numFmtId="0" fontId="0" fillId="0" borderId="16" xfId="0" applyBorder="1"/>
    <xf numFmtId="0" fontId="0" fillId="0" borderId="16" xfId="0" applyBorder="1" applyAlignment="1">
      <alignment horizontal="left" vertical="center" indent="1"/>
    </xf>
    <xf numFmtId="0" fontId="0" fillId="0" borderId="16" xfId="0" applyBorder="1" applyAlignment="1">
      <alignment vertical="top" wrapText="1"/>
    </xf>
    <xf numFmtId="0" fontId="0" fillId="0" borderId="0" xfId="0" applyAlignment="1">
      <alignment horizontal="center" vertical="center" wrapText="1"/>
    </xf>
    <xf numFmtId="164" fontId="0" fillId="0" borderId="0" xfId="0" applyNumberFormat="1"/>
    <xf numFmtId="0" fontId="20" fillId="0" borderId="0" xfId="0" applyFont="1" applyAlignment="1">
      <alignment vertical="top" wrapText="1"/>
    </xf>
    <xf numFmtId="1" fontId="0" fillId="0" borderId="10" xfId="0" applyNumberFormat="1" applyBorder="1" applyAlignment="1">
      <alignment horizontal="center" vertical="center"/>
    </xf>
    <xf numFmtId="49" fontId="0" fillId="0" borderId="10" xfId="0" applyNumberFormat="1" applyBorder="1" applyAlignment="1">
      <alignment horizontal="left" vertical="center"/>
    </xf>
    <xf numFmtId="0" fontId="0" fillId="0" borderId="10" xfId="0" applyBorder="1" applyAlignment="1">
      <alignment horizontal="center" vertical="center"/>
    </xf>
    <xf numFmtId="49" fontId="0" fillId="0" borderId="10" xfId="0" applyNumberFormat="1" applyBorder="1" applyAlignment="1">
      <alignment horizontal="center" vertical="center" wrapText="1"/>
    </xf>
    <xf numFmtId="0" fontId="0" fillId="0" borderId="10" xfId="0" applyBorder="1" applyAlignment="1">
      <alignment horizontal="left" vertical="center"/>
    </xf>
    <xf numFmtId="49" fontId="0" fillId="0" borderId="10" xfId="0" applyNumberFormat="1" applyBorder="1" applyAlignment="1">
      <alignment horizontal="left" vertical="top" wrapText="1" indent="1"/>
    </xf>
    <xf numFmtId="49" fontId="0" fillId="0" borderId="10" xfId="0" applyNumberFormat="1" applyBorder="1" applyAlignment="1">
      <alignment horizontal="center" vertical="center"/>
    </xf>
    <xf numFmtId="43" fontId="0" fillId="0" borderId="10" xfId="12" applyNumberFormat="1" applyFont="1" applyFill="1" applyBorder="1" applyAlignment="1">
      <alignment horizontal="center" wrapText="1"/>
    </xf>
    <xf numFmtId="2" fontId="0" fillId="0" borderId="10" xfId="12" applyNumberFormat="1" applyFont="1" applyFill="1" applyBorder="1" applyAlignment="1">
      <alignment horizontal="center" wrapText="1"/>
    </xf>
    <xf numFmtId="49" fontId="0" fillId="0" borderId="10" xfId="12" applyNumberFormat="1" applyFont="1" applyFill="1" applyBorder="1" applyAlignment="1">
      <alignment horizontal="left" vertical="center" wrapText="1" indent="1"/>
    </xf>
    <xf numFmtId="2" fontId="0" fillId="0" borderId="17" xfId="0" applyNumberFormat="1" applyBorder="1" applyAlignment="1">
      <alignment horizontal="left" vertical="center" indent="1"/>
    </xf>
    <xf numFmtId="43" fontId="0" fillId="0" borderId="18" xfId="44" applyFont="1" applyBorder="1" applyAlignment="1">
      <alignment horizontal="right"/>
    </xf>
    <xf numFmtId="43" fontId="0" fillId="0" borderId="18" xfId="44" applyFont="1" applyFill="1" applyBorder="1" applyAlignment="1">
      <alignment horizontal="right"/>
    </xf>
    <xf numFmtId="0" fontId="0" fillId="0" borderId="18" xfId="0" applyBorder="1" applyAlignment="1">
      <alignment horizontal="center" vertical="center"/>
    </xf>
    <xf numFmtId="0" fontId="0" fillId="0" borderId="18" xfId="0" applyBorder="1"/>
    <xf numFmtId="2" fontId="0" fillId="0" borderId="18" xfId="0" applyNumberFormat="1" applyBorder="1"/>
    <xf numFmtId="43" fontId="0" fillId="0" borderId="18" xfId="44" applyFont="1" applyBorder="1"/>
    <xf numFmtId="43" fontId="16" fillId="0" borderId="18" xfId="0" applyNumberFormat="1" applyFont="1" applyBorder="1"/>
    <xf numFmtId="43" fontId="0" fillId="0" borderId="18" xfId="0" applyNumberFormat="1" applyBorder="1"/>
    <xf numFmtId="1" fontId="0" fillId="0" borderId="18" xfId="0" applyNumberFormat="1" applyBorder="1" applyAlignment="1">
      <alignment horizontal="center" vertical="center"/>
    </xf>
    <xf numFmtId="0" fontId="0" fillId="0" borderId="19" xfId="0" applyBorder="1" applyAlignment="1">
      <alignment wrapText="1"/>
    </xf>
    <xf numFmtId="2" fontId="0" fillId="0" borderId="20" xfId="0" applyNumberFormat="1" applyBorder="1" applyAlignment="1">
      <alignment horizontal="left" vertical="center" indent="1"/>
    </xf>
    <xf numFmtId="43" fontId="0" fillId="0" borderId="21" xfId="44" applyFont="1" applyBorder="1" applyAlignment="1">
      <alignment horizontal="right"/>
    </xf>
    <xf numFmtId="0" fontId="0" fillId="0" borderId="21" xfId="0" applyBorder="1" applyAlignment="1">
      <alignment horizontal="center" vertical="center"/>
    </xf>
    <xf numFmtId="4" fontId="0" fillId="0" borderId="21" xfId="0" applyNumberFormat="1" applyBorder="1"/>
    <xf numFmtId="2" fontId="0" fillId="0" borderId="21" xfId="0" applyNumberFormat="1" applyBorder="1"/>
    <xf numFmtId="43" fontId="0" fillId="0" borderId="21" xfId="44" applyFont="1" applyBorder="1"/>
    <xf numFmtId="43" fontId="16" fillId="0" borderId="21" xfId="0" applyNumberFormat="1" applyFont="1" applyBorder="1"/>
    <xf numFmtId="43" fontId="0" fillId="0" borderId="21" xfId="0" applyNumberFormat="1" applyBorder="1"/>
    <xf numFmtId="1" fontId="0" fillId="0" borderId="21" xfId="0" applyNumberFormat="1" applyBorder="1" applyAlignment="1">
      <alignment horizontal="center" vertical="center"/>
    </xf>
    <xf numFmtId="4" fontId="0" fillId="0" borderId="22" xfId="0" applyNumberFormat="1" applyBorder="1" applyAlignment="1">
      <alignment wrapText="1"/>
    </xf>
    <xf numFmtId="43" fontId="0" fillId="0" borderId="21" xfId="44" applyFont="1" applyFill="1" applyBorder="1"/>
    <xf numFmtId="0" fontId="0" fillId="0" borderId="21" xfId="0" applyBorder="1"/>
    <xf numFmtId="0" fontId="0" fillId="0" borderId="22" xfId="0" applyBorder="1" applyAlignment="1">
      <alignment wrapText="1"/>
    </xf>
    <xf numFmtId="0" fontId="0" fillId="0" borderId="0" xfId="0" applyAlignment="1">
      <alignment wrapText="1"/>
    </xf>
    <xf numFmtId="43" fontId="0" fillId="0" borderId="0" xfId="44" applyFont="1" applyAlignment="1">
      <alignment wrapText="1"/>
    </xf>
    <xf numFmtId="43" fontId="0" fillId="0" borderId="0" xfId="44" applyFont="1"/>
    <xf numFmtId="2" fontId="0" fillId="0" borderId="18" xfId="44" applyNumberFormat="1" applyFont="1" applyFill="1" applyBorder="1" applyAlignment="1">
      <alignment horizontal="right" vertical="center"/>
    </xf>
  </cellXfs>
  <cellStyles count="45">
    <cellStyle name="20% — акцент1" xfId="19" builtinId="30" customBuiltin="1"/>
    <cellStyle name="20% — акцент2" xfId="23" builtinId="34" customBuiltin="1"/>
    <cellStyle name="20% — акцент3" xfId="27" builtinId="38" customBuiltin="1"/>
    <cellStyle name="20% — акцент4" xfId="31" builtinId="42" customBuiltin="1"/>
    <cellStyle name="20% — акцент5" xfId="35" builtinId="46" customBuiltin="1"/>
    <cellStyle name="20% — акцент6" xfId="39" builtinId="50" customBuiltin="1"/>
    <cellStyle name="40% — акцент1" xfId="20" builtinId="31" customBuiltin="1"/>
    <cellStyle name="40% — акцент2" xfId="24" builtinId="35" customBuiltin="1"/>
    <cellStyle name="40% — акцент3" xfId="28" builtinId="39" customBuiltin="1"/>
    <cellStyle name="40% — акцент4" xfId="32" builtinId="43" customBuiltin="1"/>
    <cellStyle name="40% — акцент5" xfId="36" builtinId="47" customBuiltin="1"/>
    <cellStyle name="40% — акцент6" xfId="40" builtinId="51" customBuiltin="1"/>
    <cellStyle name="60% — акцент1" xfId="21" builtinId="32" customBuiltin="1"/>
    <cellStyle name="60% — акцент2" xfId="25" builtinId="36" customBuiltin="1"/>
    <cellStyle name="60% — акцент3" xfId="29" builtinId="40" customBuiltin="1"/>
    <cellStyle name="60% — акцент4" xfId="33" builtinId="44" customBuiltin="1"/>
    <cellStyle name="60% — акцент5" xfId="37" builtinId="48" customBuiltin="1"/>
    <cellStyle name="60% — акцент6" xfId="41" builtinId="52" customBuiltin="1"/>
    <cellStyle name="Hyperlink" xfId="42" xr:uid="{00000000-000B-0000-0000-000008000000}"/>
    <cellStyle name="Акцент1" xfId="18" builtinId="29" customBuiltin="1"/>
    <cellStyle name="Акцент2" xfId="22" builtinId="33" customBuiltin="1"/>
    <cellStyle name="Акцент3" xfId="26" builtinId="37" customBuiltin="1"/>
    <cellStyle name="Акцент4" xfId="30" builtinId="41" customBuiltin="1"/>
    <cellStyle name="Акцент5" xfId="34" builtinId="45" customBuiltin="1"/>
    <cellStyle name="Акцент6" xfId="38" builtinId="49" customBuiltin="1"/>
    <cellStyle name="Ввод " xfId="9" builtinId="20" customBuiltin="1"/>
    <cellStyle name="Вывод" xfId="10" builtinId="21" customBuiltin="1"/>
    <cellStyle name="Вычисление" xfId="11" builtinId="22" customBuiltin="1"/>
    <cellStyle name="Гиперссылка" xfId="43" builtinId="8" hidden="1"/>
    <cellStyle name="Заголовок 1" xfId="2" builtinId="16" customBuiltin="1"/>
    <cellStyle name="Заголовок 2" xfId="3" builtinId="17" customBuiltin="1"/>
    <cellStyle name="Заголовок 3" xfId="4" builtinId="18" customBuiltin="1"/>
    <cellStyle name="Заголовок 4" xfId="5" builtinId="19" customBuiltin="1"/>
    <cellStyle name="Итог" xfId="17" builtinId="25" customBuiltin="1"/>
    <cellStyle name="Контрольная ячейка" xfId="13" builtinId="23" customBuiltin="1"/>
    <cellStyle name="Название" xfId="1" builtinId="15" customBuiltin="1"/>
    <cellStyle name="Нейтральный" xfId="8" builtinId="28" customBuiltin="1"/>
    <cellStyle name="Обычный" xfId="0" builtinId="0"/>
    <cellStyle name="Плохой" xfId="7" builtinId="27" customBuiltin="1"/>
    <cellStyle name="Пояснение" xfId="16" builtinId="53" customBuiltin="1"/>
    <cellStyle name="Примечание" xfId="15" builtinId="10" customBuiltin="1"/>
    <cellStyle name="Связанная ячейка" xfId="12" builtinId="24" customBuiltin="1"/>
    <cellStyle name="Текст предупреждения" xfId="14" builtinId="11" customBuiltin="1"/>
    <cellStyle name="Финансовый" xfId="44" builtinId="3"/>
    <cellStyle name="Хороший" xfId="6" builtinId="26" customBuiltin="1"/>
  </cellStyles>
  <dxfs count="298">
    <dxf>
      <fill>
        <patternFill>
          <bgColor rgb="FF92D050"/>
        </patternFill>
      </fill>
    </dxf>
    <dxf>
      <fill>
        <patternFill>
          <bgColor rgb="FF92D050"/>
        </patternFill>
      </fill>
    </dxf>
    <dxf>
      <fill>
        <patternFill>
          <bgColor rgb="FFF47B5E"/>
        </patternFill>
      </fill>
    </dxf>
    <dxf>
      <fill>
        <patternFill>
          <bgColor rgb="FFF5B487"/>
        </patternFill>
      </fill>
    </dxf>
    <dxf>
      <fill>
        <patternFill>
          <bgColor rgb="FFFFFF99"/>
        </patternFill>
      </fill>
    </dxf>
    <dxf>
      <fill>
        <patternFill>
          <bgColor rgb="FF84A2D8"/>
        </patternFill>
      </fill>
    </dxf>
    <dxf>
      <fill>
        <patternFill>
          <bgColor rgb="FFFF0000"/>
        </patternFill>
      </fill>
    </dxf>
    <dxf>
      <fill>
        <patternFill>
          <bgColor rgb="FF92D050"/>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rgb="FFF5B487"/>
        </patternFill>
      </fill>
    </dxf>
    <dxf>
      <fill>
        <patternFill>
          <bgColor theme="7" tint="0.59996337778862885"/>
        </patternFill>
      </fill>
    </dxf>
    <dxf>
      <fill>
        <patternFill patternType="solid">
          <fgColor indexed="64"/>
          <bgColor rgb="FFC9A6E4"/>
        </patternFill>
      </fill>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center" vertical="top"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general" vertical="bottom" textRotation="0" wrapText="1" indent="0" justifyLastLine="0" shrinkToFit="0" readingOrder="0"/>
    </dxf>
    <dxf>
      <numFmt numFmtId="0" formatCode="General"/>
      <alignment horizontal="center" vertical="top" textRotation="0" wrapText="1" indent="0" justifyLastLine="0" shrinkToFit="0" readingOrder="0"/>
    </dxf>
    <dxf>
      <alignment horizontal="general" vertical="bottom" textRotation="0" wrapText="1" indent="0" justifyLastLine="0" shrinkToFit="0" readingOrder="0"/>
    </dxf>
    <dxf>
      <alignment horizontal="center" vertical="top" textRotation="0" wrapText="1" indent="0" justifyLastLine="0" shrinkToFit="0" readingOrder="0"/>
    </dxf>
    <dxf>
      <numFmt numFmtId="30" formatCode="@"/>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numFmt numFmtId="30" formatCode="@"/>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numFmt numFmtId="30" formatCode="@"/>
      <alignment horizontal="left" vertical="center" textRotation="0" wrapText="0" relativeIndent="1" justifyLastLine="0" shrinkToFit="0" readingOrder="0"/>
      <border diagonalUp="0" diagonalDown="0"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border diagonalUp="0" diagonalDown="0" outline="0">
        <left style="thin">
          <color indexed="64"/>
        </left>
        <right/>
        <top style="thin">
          <color indexed="64"/>
        </top>
        <bottom style="thin">
          <color indexed="64"/>
        </bottom>
      </border>
    </dxf>
    <dxf>
      <alignment horizontal="center" vertical="top"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general" vertical="bottom" textRotation="0" wrapText="1" indent="0" justifyLastLine="0" shrinkToFit="0" readingOrder="0"/>
      <border diagonalUp="0" diagonalDown="0" outline="0">
        <left style="hair">
          <color indexed="64"/>
        </left>
        <right style="dashed">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top" textRotation="0" wrapText="1" indent="0"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top/>
        <bottom/>
      </border>
    </dxf>
    <dxf>
      <alignment horizontal="left" vertical="center" textRotation="0" wrapText="0" indent="1" justifyLastLine="0" shrinkToFit="0" readingOrder="0"/>
    </dxf>
    <dxf>
      <alignment horizontal="left" vertical="bottom" textRotation="0" wrapText="0" indent="1" justifyLastLine="0" shrinkToFit="0" readingOrder="0"/>
      <border diagonalUp="0" diagonalDown="0" outline="0">
        <left style="hair">
          <color indexed="64"/>
        </left>
        <right style="hair">
          <color indexed="64"/>
        </right>
        <top/>
        <bottom/>
      </border>
    </dxf>
    <dxf>
      <alignment horizontal="left" vertical="center" textRotation="0" wrapText="0" relative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alignment horizontal="center"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center" vertical="center" textRotation="0" wrapText="0" indent="0" justifyLastLine="0" shrinkToFit="0" readingOrder="0"/>
      <protection locked="1" hidden="0"/>
    </dxf>
    <dxf>
      <font>
        <b val="0"/>
        <i val="0"/>
        <strike val="0"/>
        <condense val="0"/>
        <extend val="0"/>
        <outline val="0"/>
        <shadow val="0"/>
        <u val="none"/>
        <vertAlign val="baseline"/>
        <sz val="11"/>
        <color indexed="8"/>
        <name val="Calibri"/>
        <family val="2"/>
        <scheme val="none"/>
      </font>
      <alignment horizontal="left" vertical="center" textRotation="0" wrapText="0" indent="1"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indexed="8"/>
        <name val="Calibri"/>
        <family val="2"/>
        <scheme val="none"/>
      </font>
      <numFmt numFmtId="30" formatCode="@"/>
      <alignment horizontal="left" vertical="center" textRotation="0" wrapText="0" indent="1" justifyLastLine="0" shrinkToFit="0" readingOrder="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30" formatCode="@"/>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left" vertical="center" textRotation="0" wrapText="0" indent="1"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left" vertical="center" textRotation="0" wrapText="0" relativeIndent="1" justifyLastLine="0" shrinkToFit="0" readingOrder="0"/>
      <protection locked="1" hidden="0"/>
    </dxf>
    <dxf>
      <font>
        <b val="0"/>
        <i val="0"/>
        <strike val="0"/>
        <condense val="0"/>
        <extend val="0"/>
        <outline val="0"/>
        <shadow val="0"/>
        <u val="none"/>
        <vertAlign val="baseline"/>
        <sz val="11"/>
        <color indexed="8"/>
        <name val="Calibri"/>
        <family val="2"/>
        <scheme val="none"/>
      </font>
      <fill>
        <patternFill patternType="none">
          <fgColor indexed="64"/>
          <bgColor indexed="65"/>
        </patternFill>
      </fill>
      <alignment horizontal="general" vertical="center" textRotation="0" wrapText="1" indent="0" justifyLastLine="0" shrinkToFit="0" readingOrder="0"/>
      <border diagonalUp="0" diagonalDown="0" outline="0">
        <left style="hair">
          <color indexed="64"/>
        </left>
        <right style="hair">
          <color indexed="64"/>
        </right>
        <top/>
        <bottom/>
      </border>
      <protection locked="1" hidden="0"/>
    </dxf>
    <dxf>
      <font>
        <b val="0"/>
        <i val="0"/>
        <strike val="0"/>
        <condense val="0"/>
        <extend val="0"/>
        <outline val="0"/>
        <shadow val="0"/>
        <u val="none"/>
        <vertAlign val="baseline"/>
        <sz val="11"/>
        <color indexed="8"/>
        <name val="Calibri"/>
        <family val="2"/>
        <scheme val="none"/>
      </font>
      <numFmt numFmtId="0" formatCode="General"/>
      <fill>
        <patternFill patternType="none">
          <fgColor indexed="64"/>
          <bgColor indexed="65"/>
        </patternFill>
      </fill>
      <alignment horizontal="general" vertical="center" textRotation="0" wrapText="1" indent="0" justifyLastLine="0" shrinkToFit="0" readingOrder="0"/>
      <protection locked="1" hidden="0"/>
    </dxf>
    <dxf>
      <alignment horizontal="general" vertical="center" textRotation="0" wrapText="0" indent="0" justifyLastLine="0" shrinkToFit="0" readingOrder="0"/>
      <border diagonalUp="0" diagonalDown="0" outline="0">
        <left style="hair">
          <color indexed="64"/>
        </left>
        <right style="hair">
          <color indexed="64"/>
        </right>
        <top/>
        <bottom/>
      </border>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center" textRotation="0" wrapText="0" indent="0" justifyLastLine="0" shrinkToFit="0" readingOrder="0"/>
      <border diagonalUp="0" diagonalDown="0" outline="0">
        <left style="hair">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0" indent="0" justifyLastLine="0" shrinkToFit="0" readingOrder="0"/>
      <border diagonalUp="0" diagonalDown="0" outline="0">
        <left style="dashed">
          <color indexed="64"/>
        </left>
        <right style="hair">
          <color indexed="64"/>
        </right>
        <top/>
        <bottom/>
      </border>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dxf>
    <dxf>
      <border outline="0">
        <top style="medium">
          <color theme="1"/>
        </top>
        <bottom style="medium">
          <color theme="1"/>
        </bottom>
      </border>
    </dxf>
    <dxf>
      <fill>
        <patternFill patternType="none">
          <fgColor indexed="64"/>
          <bgColor auto="1"/>
        </patternFill>
      </fill>
    </dxf>
    <dxf>
      <fill>
        <patternFill patternType="none">
          <fgColor indexed="64"/>
          <bgColor auto="1"/>
        </patternFill>
      </fill>
      <alignment horizontal="center" vertical="top" textRotation="0" wrapText="1" indent="0" justifyLastLine="0" shrinkToFit="0" readingOrder="0"/>
    </dxf>
    <dxf>
      <numFmt numFmtId="0" formatCode="General"/>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numFmt numFmtId="0" formatCode="General"/>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bottom" textRotation="0" wrapText="0" indent="0" justifyLastLine="0" shrinkToFit="0" readingOrder="0"/>
    </dxf>
    <dxf>
      <alignment horizontal="center" vertical="top" textRotation="0" wrapText="0" indent="0" justifyLastLine="0" shrinkToFit="0" readingOrder="0"/>
    </dxf>
    <dxf>
      <numFmt numFmtId="0" formatCode="General"/>
      <alignment horizontal="left" vertical="bottom" textRotation="0" wrapText="0" indent="1" justifyLastLine="0" shrinkToFit="0" readingOrder="0"/>
    </dxf>
    <dxf>
      <alignment horizontal="center" vertical="center" textRotation="0" wrapText="0" indent="0" justifyLastLine="0" shrinkToFit="0" readingOrder="0"/>
    </dxf>
    <dxf>
      <alignment horizontal="center" vertical="top" textRotation="0" wrapText="0" indent="0" justifyLastLine="0" shrinkToFit="0" readingOrder="0"/>
    </dxf>
    <dxf>
      <numFmt numFmtId="35" formatCode="_-* #,##0.00_-;\-* #,##0.00_-;_-* &quot;-&quot;??_-;_-@_-"/>
    </dxf>
    <dxf>
      <alignment vertical="bottom"/>
    </dxf>
    <dxf>
      <alignment vertical="bottom"/>
    </dxf>
    <dxf>
      <alignment vertical="center"/>
    </dxf>
    <dxf>
      <alignment horizontal="general" indent="0"/>
    </dxf>
    <dxf>
      <alignment vertical="top"/>
    </dxf>
    <dxf>
      <alignment vertical="top"/>
    </dxf>
    <dxf>
      <alignment vertical="top"/>
    </dxf>
    <dxf>
      <alignment wrapText="1"/>
    </dxf>
    <dxf>
      <alignment wrapText="1"/>
    </dxf>
    <dxf>
      <alignment wrapText="1"/>
    </dxf>
    <dxf>
      <alignment wrapText="1"/>
    </dxf>
    <dxf>
      <alignment horizontal="general" indent="0"/>
    </dxf>
    <dxf>
      <alignment horizontal="general" indent="0"/>
    </dxf>
    <dxf>
      <alignment horizontal="general" indent="0"/>
    </dxf>
    <dxf>
      <alignment vertical="top"/>
    </dxf>
    <dxf>
      <alignment vertical="center"/>
    </dxf>
    <dxf>
      <numFmt numFmtId="35" formatCode="_-* #,##0.00_-;\-* #,##0.00_-;_-* &quot;-&quot;??_-;_-@_-"/>
    </dxf>
    <dxf>
      <alignment vertical="top"/>
    </dxf>
    <dxf>
      <alignment horizontal="center"/>
    </dxf>
    <dxf>
      <alignment horizontal="general" indent="0"/>
    </dxf>
    <dxf>
      <alignment wrapText="1" indent="0"/>
    </dxf>
    <dxf>
      <alignment wrapText="1" indent="0"/>
    </dxf>
    <dxf>
      <alignment wrapText="1" indent="0"/>
    </dxf>
    <dxf>
      <alignment wrapText="1" indent="0"/>
    </dxf>
    <dxf>
      <alignment wrapText="1" indent="0"/>
    </dxf>
    <dxf>
      <alignment wrapText="1" indent="0"/>
    </dxf>
    <dxf>
      <alignment horizontal="center"/>
    </dxf>
    <dxf>
      <alignment horizontal="center"/>
    </dxf>
    <dxf>
      <alignment wrapText="1"/>
    </dxf>
    <dxf>
      <alignment wrapText="1"/>
    </dxf>
    <dxf>
      <numFmt numFmtId="35" formatCode="_-* #,##0.00_-;\-* #,##0.00_-;_-* &quot;-&quot;??_-;_-@_-"/>
    </dxf>
    <dxf>
      <alignment vertical="top"/>
    </dxf>
    <dxf>
      <alignment wrapText="1"/>
    </dxf>
    <dxf>
      <alignment horizontal="general" vertical="top" textRotation="0" wrapText="1" indent="0" justifyLastLine="0" shrinkToFit="0" readingOrder="0"/>
      <border diagonalUp="0" diagonalDown="0" outline="0">
        <left style="dashed">
          <color auto="1"/>
        </left>
        <right style="dashed">
          <color auto="1"/>
        </right>
        <top/>
        <bottom/>
      </border>
    </dxf>
    <dxf>
      <alignment horizontal="general"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charset val="204"/>
        <scheme val="minor"/>
      </font>
    </dxf>
    <dxf>
      <numFmt numFmtId="35" formatCode="_-* #,##0.00_-;\-* #,##0.00_-;_-* &quot;-&quot;??_-;_-@_-"/>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charset val="204"/>
        <scheme val="minor"/>
      </font>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left" vertical="center" textRotation="0" wrapText="0" indent="1" justifyLastLine="0" shrinkToFit="0" readingOrder="0"/>
      <border diagonalUp="0" diagonalDown="0" outline="0">
        <left style="dashed">
          <color auto="1"/>
        </left>
        <right style="dashed">
          <color auto="1"/>
        </right>
        <top/>
        <bottom/>
      </border>
    </dxf>
    <dxf>
      <alignment horizontal="left" vertical="center" textRotation="0" wrapText="0" indent="1"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charset val="204"/>
        <scheme val="minor"/>
      </font>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font>
        <b val="0"/>
        <i val="0"/>
        <strike val="0"/>
        <condense val="0"/>
        <extend val="0"/>
        <outline val="0"/>
        <shadow val="0"/>
        <u val="none"/>
        <vertAlign val="baseline"/>
        <sz val="11"/>
        <color theme="1"/>
        <name val="Calibri"/>
        <family val="2"/>
        <charset val="204"/>
        <scheme val="minor"/>
      </font>
    </dxf>
    <dxf>
      <border diagonalUp="0" diagonalDown="0" outline="0">
        <left style="dashed">
          <color auto="1"/>
        </left>
        <right style="dashed">
          <color auto="1"/>
        </right>
        <top/>
        <bottom/>
      </border>
    </dxf>
    <dxf>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1" indent="0" justifyLastLine="0" shrinkToFit="0" readingOrder="0"/>
      <border diagonalUp="0" diagonalDown="0" outline="0">
        <left style="dashed">
          <color auto="1"/>
        </left>
        <right style="dashed">
          <color auto="1"/>
        </right>
        <top/>
        <bottom/>
      </border>
    </dxf>
    <dxf>
      <alignment horizontal="center" vertical="center"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left" vertical="top" textRotation="0" wrapText="1" indent="0" justifyLastLine="0" shrinkToFit="0" readingOrder="0"/>
      <border diagonalUp="0" diagonalDown="0" outline="0">
        <left style="dashed">
          <color auto="1"/>
        </left>
        <right style="dashed">
          <color auto="1"/>
        </right>
        <top/>
        <bottom/>
      </border>
    </dxf>
    <dxf>
      <alignment horizontal="left" vertical="top" textRotation="0" wrapText="1"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dashed">
          <color auto="1"/>
        </left>
        <right style="dashed">
          <color auto="1"/>
        </right>
        <top style="dashed">
          <color auto="1"/>
        </top>
        <bottom style="dashed">
          <color auto="1"/>
        </bottom>
        <vertical/>
        <horizontal/>
      </border>
    </dxf>
    <dxf>
      <alignment horizontal="center" vertical="top" textRotation="0" wrapText="1" indent="0" justifyLastLine="0" shrinkToFit="0" readingOrder="0"/>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left" vertical="center" textRotation="0" wrapText="1" indent="1"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0" formatCode="@"/>
      <fill>
        <patternFill patternType="none">
          <fgColor indexed="64"/>
          <bgColor auto="1"/>
        </patternFill>
      </fill>
      <alignment horizontal="left" vertical="center" textRotation="0" wrapText="1"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libri"/>
        <family val="2"/>
        <charset val="204"/>
        <scheme val="minor"/>
      </font>
      <fill>
        <patternFill patternType="none">
          <fgColor indexed="64"/>
          <bgColor indexed="65"/>
        </patternFill>
      </fill>
      <alignment horizontal="center" vertical="bottom" textRotation="0" wrapText="1" indent="0" justifyLastLine="0" shrinkToFit="0" readingOrder="0"/>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35" formatCode="_-* #,##0.00_-;\-* #,##0.00_-;_-* &quot;-&quot;??_-;_-@_-"/>
      <fill>
        <patternFill patternType="none">
          <fgColor indexed="64"/>
          <bgColor indexed="65"/>
        </patternFill>
      </fill>
      <alignment horizontal="center"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1" justifyLastLine="0" shrinkToFit="0" readingOrder="0"/>
      <border diagonalUp="0" diagonalDown="0" outline="0">
        <left style="dashed">
          <color auto="1"/>
        </left>
        <right style="dashed">
          <color auto="1"/>
        </right>
        <top/>
        <bottom/>
      </border>
    </dxf>
    <dxf>
      <numFmt numFmtId="30" formatCode="@"/>
      <alignment horizontal="left" vertical="top" textRotation="0" wrapText="1" relativeIndent="1"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outline="0">
        <left style="dashed">
          <color auto="1"/>
        </left>
        <right style="dashed">
          <color auto="1"/>
        </right>
        <top/>
        <bottom/>
      </border>
    </dxf>
    <dxf>
      <numFmt numFmtId="0" formatCode="General"/>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1" indent="0" justifyLastLine="0" shrinkToFit="0" readingOrder="0"/>
      <border diagonalUp="0" diagonalDown="0" outline="0">
        <left style="dashed">
          <color auto="1"/>
        </left>
        <right style="dashed">
          <color auto="1"/>
        </right>
        <top/>
        <bottom/>
      </border>
    </dxf>
    <dxf>
      <numFmt numFmtId="30" formatCode="@"/>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border diagonalUp="0" diagonalDown="0" outline="0">
        <left style="dashed">
          <color auto="1"/>
        </left>
        <right style="dashed">
          <color auto="1"/>
        </right>
        <top/>
        <bottom/>
      </border>
    </dxf>
    <dxf>
      <numFmt numFmtId="30" formatCode="@"/>
      <alignment horizontal="lef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center" textRotation="0" wrapText="0" indent="0" justifyLastLine="0" shrinkToFit="0" readingOrder="0"/>
      <border diagonalUp="0" diagonalDown="0" outline="0">
        <left style="dashed">
          <color auto="1"/>
        </left>
        <right style="dashed">
          <color auto="1"/>
        </right>
        <top/>
        <bottom/>
      </border>
    </dxf>
    <dxf>
      <numFmt numFmtId="30" formatCode="@"/>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numFmt numFmtId="1" formatCode="0"/>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left" vertical="top" textRotation="0" wrapText="1" indent="0" justifyLastLine="0" shrinkToFit="0" readingOrder="0"/>
    </dxf>
    <dxf>
      <numFmt numFmtId="30" formatCode="@"/>
      <alignment horizontal="center" vertical="top" textRotation="0" wrapText="1" indent="0" justifyLastLine="0" shrinkToFit="0" readingOrder="0"/>
    </dxf>
    <dxf>
      <border diagonalUp="0" diagonalDown="0" outline="0">
        <left style="dashed">
          <color auto="1"/>
        </left>
        <right style="dashed">
          <color auto="1"/>
        </right>
        <top/>
        <bottom/>
      </border>
    </dxf>
    <dxf>
      <fill>
        <patternFill patternType="none">
          <bgColor auto="1"/>
        </patternFill>
      </fill>
      <alignment horizontal="general" vertical="bottom" textRotation="0" wrapText="1" indent="0" justifyLastLine="0" shrinkToFit="0" readingOrder="0"/>
      <border diagonalUp="0" diagonalDown="0">
        <left style="hair">
          <color auto="1"/>
        </left>
        <right style="dashed">
          <color auto="1"/>
        </right>
        <top style="hair">
          <color auto="1"/>
        </top>
        <bottom style="hair">
          <color auto="1"/>
        </bottom>
        <vertical style="hair">
          <color auto="1"/>
        </vertical>
        <horizontal style="hair">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center" vertical="center"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center" vertical="center"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1" formatCode="0"/>
      <border diagonalUp="0" diagonalDown="0" outline="0">
        <left style="dashed">
          <color auto="1"/>
        </left>
        <right style="dashed">
          <color auto="1"/>
        </right>
        <top/>
        <bottom/>
      </border>
    </dxf>
    <dxf>
      <numFmt numFmtId="2" formatCode="0.00"/>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35" formatCode="_-* #,##0.00_-;\-* #,##0.00_-;_-* &quot;-&quot;??_-;_-@_-"/>
    </dxf>
    <dxf>
      <font>
        <b/>
      </font>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35" formatCode="_-* #,##0.00_-;\-* #,##0.00_-;_-* &quot;-&quot;??_-;_-@_-"/>
    </dxf>
    <dxf>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35" formatCode="_-* #,##0.00_-;\-* #,##0.00_-;_-* &quot;-&quot;??_-;_-@_-"/>
    </dxf>
    <dxf>
      <font>
        <b/>
      </font>
      <numFmt numFmtId="35" formatCode="_-* #,##0.00_-;\-* #,##0.00_-;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font>
        <b val="0"/>
        <i val="0"/>
        <strike val="0"/>
        <condense val="0"/>
        <extend val="0"/>
        <outline val="0"/>
        <shadow val="0"/>
        <u val="none"/>
        <vertAlign val="baseline"/>
        <sz val="11"/>
        <color theme="1"/>
        <name val="Calibri"/>
        <family val="2"/>
        <charset val="204"/>
        <scheme val="minor"/>
      </font>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numFmt numFmtId="2" formatCode="0.00"/>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numFmt numFmtId="35" formatCode="_-* #,##0.00_-;\-* #,##0.00_-;_-* &quot;-&quot;??_-;_-@_-"/>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border diagonalUp="0" diagonalDown="0" outline="0">
        <left style="dashed">
          <color auto="1"/>
        </left>
        <right style="dashed">
          <color auto="1"/>
        </right>
        <top/>
        <bottom/>
      </border>
    </dxf>
    <dxf>
      <fill>
        <patternFill patternType="none">
          <bgColor auto="1"/>
        </patternFill>
      </fill>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right" vertical="bottom" textRotation="0" wrapText="0" indent="0" justifyLastLine="0" shrinkToFit="0" readingOrder="0"/>
      <border diagonalUp="0" diagonalDown="0" outline="0">
        <left style="dashed">
          <color auto="1"/>
        </left>
        <right style="dashed">
          <color auto="1"/>
        </right>
        <top/>
        <bottom/>
      </border>
    </dxf>
    <dxf>
      <fill>
        <patternFill patternType="none">
          <bgColor auto="1"/>
        </patternFill>
      </fill>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alignment horizontal="right" vertical="bottom" textRotation="0" wrapText="0" indent="0" justifyLastLine="0" shrinkToFit="0" readingOrder="0"/>
      <border diagonalUp="0" diagonalDown="0" outline="0">
        <left/>
        <right style="dashed">
          <color auto="1"/>
        </right>
        <top/>
        <bottom/>
      </border>
    </dxf>
    <dxf>
      <fill>
        <patternFill patternType="none">
          <bgColor auto="1"/>
        </patternFill>
      </fill>
      <alignment horizontal="right" vertical="bottom" textRotation="0" wrapText="0" indent="0" justifyLastLine="0" shrinkToFit="0" readingOrder="0"/>
      <border diagonalUp="0" diagonalDown="0">
        <left style="hair">
          <color auto="1"/>
        </left>
        <right style="hair">
          <color auto="1"/>
        </right>
        <top style="hair">
          <color auto="1"/>
        </top>
        <bottom style="hair">
          <color auto="1"/>
        </bottom>
        <vertical style="hair">
          <color auto="1"/>
        </vertical>
        <horizontal style="hair">
          <color auto="1"/>
        </horizontal>
      </border>
    </dxf>
    <dxf>
      <numFmt numFmtId="2" formatCode="0.00"/>
      <alignment horizontal="left" vertical="center" textRotation="0" wrapText="0" indent="1" justifyLastLine="0" shrinkToFit="0" readingOrder="0"/>
      <border diagonalUp="0" diagonalDown="0" outline="0">
        <left style="dashed">
          <color auto="1"/>
        </left>
        <right style="dashed">
          <color auto="1"/>
        </right>
        <top/>
        <bottom/>
      </border>
    </dxf>
    <dxf>
      <fill>
        <patternFill patternType="none">
          <bgColor auto="1"/>
        </patternFill>
      </fill>
      <alignment horizontal="left" vertical="center" textRotation="0" wrapText="0" relativeIndent="1" justifyLastLine="0" shrinkToFit="0" readingOrder="0"/>
      <border diagonalUp="0" diagonalDown="0">
        <left style="dashed">
          <color auto="1"/>
        </left>
        <right style="hair">
          <color auto="1"/>
        </right>
        <top style="hair">
          <color auto="1"/>
        </top>
        <bottom style="hair">
          <color auto="1"/>
        </bottom>
        <vertical style="hair">
          <color auto="1"/>
        </vertical>
        <horizontal style="hair">
          <color auto="1"/>
        </horizontal>
      </border>
    </dxf>
    <dxf>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charset val="204"/>
        <scheme val="minor"/>
      </font>
      <fill>
        <patternFill patternType="none">
          <fgColor indexed="64"/>
          <bgColor auto="1"/>
        </patternFill>
      </fill>
      <alignment horizontal="left" vertical="center" textRotation="0" wrapText="0" indent="0" justifyLastLine="0" shrinkToFit="0" readingOrder="0"/>
      <border diagonalUp="0" diagonalDown="0" outline="0">
        <left style="dashed">
          <color auto="1"/>
        </left>
        <right/>
        <top style="dashed">
          <color auto="1"/>
        </top>
        <bottom style="dashed">
          <color auto="1"/>
        </bottom>
      </border>
    </dxf>
    <dxf>
      <fill>
        <patternFill patternType="none">
          <bgColor auto="1"/>
        </patternFill>
      </fill>
    </dxf>
    <dxf>
      <font>
        <b/>
        <i val="0"/>
        <strike val="0"/>
        <condense val="0"/>
        <extend val="0"/>
        <outline val="0"/>
        <shadow val="0"/>
        <u val="none"/>
        <vertAlign val="baseline"/>
        <sz val="11"/>
        <color theme="0"/>
        <name val="Calibri"/>
        <family val="2"/>
        <charset val="204"/>
        <scheme val="minor"/>
      </font>
      <fill>
        <patternFill patternType="solid">
          <fgColor theme="8"/>
          <bgColor theme="8"/>
        </patternFill>
      </fill>
      <alignment horizontal="center" vertical="top" textRotation="0" wrapText="1" indent="0" justifyLastLine="0" shrinkToFit="0" readingOrder="0"/>
    </dxf>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0" defaultPivotStyle="PivotStyleLight16">
    <tableStyle name="Плоский стиль сводного представления" table="0" count="3" xr9:uid="{7E7469EB-6512-448A-9E72-F2B72DA20E69}">
      <tableStyleElement type="headerRow" dxfId="297"/>
      <tableStyleElement type="totalRow" dxfId="296"/>
      <tableStyleElement type="secondRowStripe" dxfId="295"/>
    </tableStyle>
  </tableStyles>
  <colors>
    <mruColors>
      <color rgb="FFF5B487"/>
      <color rgb="FFF47B5E"/>
      <color rgb="FFF25F3C"/>
      <color rgb="FFC9A6E4"/>
      <color rgb="FFF1E8F8"/>
      <color rgb="FFE4D2F2"/>
      <color rgb="FFF8D8E5"/>
      <color rgb="FF84A2D8"/>
      <color rgb="FFFFFF99"/>
      <color rgb="FFEF86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microsoft.com/office/2017/10/relationships/person" Target="persons/person.xml"/><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42"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worksheet" Target="worksheets/sheet10.xml"/><Relationship Id="rId19" Type="http://schemas.openxmlformats.org/officeDocument/2006/relationships/calcChain" Target="calcChain.xml"/><Relationship Id="rId31" Type="http://schemas.openxmlformats.org/officeDocument/2006/relationships/customXml" Target="../customXml/item12.xml"/><Relationship Id="rId44"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43" Type="http://schemas.openxmlformats.org/officeDocument/2006/relationships/customXml" Target="../customXml/item24.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persons/person.xml><?xml version="1.0" encoding="utf-8"?>
<personList xmlns="http://schemas.microsoft.com/office/spreadsheetml/2018/threadedcomments" xmlns:x="http://schemas.openxmlformats.org/spreadsheetml/2006/main">
  <person displayName="Иван Кукушкин" id="{546BDB3A-668A-4D8C-87A8-0DE14755FBE5}" userId="3a809852355ebf2e" providerId="Windows Live"/>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andrey.malyavin" refreshedDate="45971.602244791669" backgroundQuery="1" createdVersion="8" refreshedVersion="8" minRefreshableVersion="3" recordCount="0" supportSubquery="1" supportAdvancedDrill="1" xr:uid="{B4C9610A-0905-469A-A180-90E1F6157402}">
  <cacheSource type="external" connectionId="1"/>
  <cacheFields count="8">
    <cacheField name="[TabSpecificationWork_1].[DESCRIPTION SET].[DESCRIPTION SET]" caption="DESCRIPTION SET" numFmtId="0" hierarchy="5" level="1">
      <sharedItems count="5">
        <s v="Комплект активного сетевого оборудования"/>
        <s v="Комплект модулей для активного сетевого оборудования"/>
        <s v="Комплект активного сетевого оборудования с монтажным комплектом" u="1"/>
        <s v="Комплект пассивного сетевого оборудования" u="1"/>
        <s v="Комплект серверного оборудования для формирования ПТК" u="1"/>
      </sharedItems>
    </cacheField>
    <cacheField name="[TabSpecificationWork_1].[NUM PROJECT].[NUM PROJECT]" caption="NUM PROJECT" numFmtId="0" hierarchy="2" level="1">
      <sharedItems containsSemiMixedTypes="0" containsNonDate="0" containsString="0"/>
    </cacheField>
    <cacheField name="[Measures].[Сумма по столбцу COST PRICE $PURCHASE]" caption="Сумма по столбцу COST PRICE $PURCHASE" numFmtId="0" hierarchy="53" level="32767"/>
    <cacheField name="[TabSpecificationWork_1].[NAME PRODUCT].[NAME PRODUCT]" caption="NAME PRODUCT" numFmtId="0" hierarchy="11" level="1">
      <sharedItems count="12">
        <s v="Коммутатор Huawei S6730-H48X6C"/>
        <s v="Коммутатор L3, OS3228"/>
        <s v="Сетевая карта LR-Link OCP 3.0 2 порта 100G QSFP28 LRES3026PF-OCP"/>
        <s v="Модуль 100G QSFP28 AOC, дальность до 3м"/>
        <s v="Модуль SFP LX 20км (14dB)"/>
        <s v="Модуль SFP с интерфейсом RJ45, до 100м"/>
        <s v="Модуль SFP+ оптический, дальность до 2км (9dB), 1310нм"/>
        <s v="Оптический кросс 19&quot; 1U 16 портов" u="1"/>
        <s v="Патч-корд оптический FC-LC-SM duplex" u="1"/>
        <s v="Сервер Gigabyte двухсокетный Application, 2U" u="1"/>
        <s v="Сервер Gigabyte двухсокетный DBMS, 2U" u="1"/>
        <s v="DEM-432XT" u="1"/>
      </sharedItems>
    </cacheField>
    <cacheField name="[Measures].[Сумма по столбцу COST $TOTAL]" caption="Сумма по столбцу COST $TOTAL" numFmtId="0" hierarchy="55" level="32767"/>
    <cacheField name="[TabSpecificationWork_1].[isSHIPPED].[isSHIPPED]" caption="isSHIPPED" numFmtId="0" hierarchy="9" level="1">
      <sharedItems containsSemiMixedTypes="0" containsNonDate="0" containsString="0"/>
    </cacheField>
    <cacheField name="[Measures].[Сумма по столбцу QUANTITY TOTAL]" caption="Сумма по столбцу QUANTITY TOTAL" numFmtId="0" hierarchy="51" level="32767"/>
    <cacheField name="[TabSpecificationWork_1].[NUM FULL SET].[NUM FULL SET]" caption="NUM FULL SET" numFmtId="0" hierarchy="8" level="1">
      <sharedItems containsSemiMixedTypes="0" containsNonDate="0" containsString="0"/>
    </cacheField>
  </cacheFields>
  <cacheHierarchies count="61">
    <cacheHierarchy uniqueName="[TabSpecificationWork_1].[IDnum]" caption="IDnum" attribute="1" defaultMemberUniqueName="[TabSpecificationWork_1].[IDnum].[All]" allUniqueName="[TabSpecificationWork_1].[IDnum].[All]" dimensionUniqueName="[TabSpecificationWork_1]" displayFolder="" count="0" memberValueDatatype="20" unbalanced="0"/>
    <cacheHierarchy uniqueName="[TabSpecificationWork_1].[IDsource]" caption="IDsource" attribute="1" defaultMemberUniqueName="[TabSpecificationWork_1].[IDsource].[All]" allUniqueName="[TabSpecificationWork_1].[IDsource].[All]" dimensionUniqueName="[TabSpecificationWork_1]" displayFolder="" count="0" memberValueDatatype="20" unbalanced="0"/>
    <cacheHierarchy uniqueName="[TabSpecificationWork_1].[NUM PROJECT]" caption="NUM PROJECT" attribute="1" defaultMemberUniqueName="[TabSpecificationWork_1].[NUM PROJECT].[All]" allUniqueName="[TabSpecificationWork_1].[NUM PROJECT].[All]" dimensionUniqueName="[TabSpecificationWork_1]" displayFolder="" count="2" memberValueDatatype="130" unbalanced="0">
      <fieldsUsage count="2">
        <fieldUsage x="-1"/>
        <fieldUsage x="1"/>
      </fieldsUsage>
    </cacheHierarchy>
    <cacheHierarchy uniqueName="[TabSpecificationWork_1].[NUM ORDER]" caption="NUM ORDER" attribute="1" defaultMemberUniqueName="[TabSpecificationWork_1].[NUM ORDER].[All]" allUniqueName="[TabSpecificationWork_1].[NUM ORDER].[All]" dimensionUniqueName="[TabSpecificationWork_1]" displayFolder="" count="0" memberValueDatatype="130" unbalanced="0"/>
    <cacheHierarchy uniqueName="[TabSpecificationWork_1].[VER COLLECTION]" caption="VER COLLECTION" attribute="1" defaultMemberUniqueName="[TabSpecificationWork_1].[VER COLLECTION].[All]" allUniqueName="[TabSpecificationWork_1].[VER COLLECTION].[All]" dimensionUniqueName="[TabSpecificationWork_1]" displayFolder="" count="0" memberValueDatatype="20" unbalanced="0"/>
    <cacheHierarchy uniqueName="[TabSpecificationWork_1].[DESCRIPTION SET]" caption="DESCRIPTION SET" attribute="1" defaultMemberUniqueName="[TabSpecificationWork_1].[DESCRIPTION SET].[All]" allUniqueName="[TabSpecificationWork_1].[DESCRIPTION SET].[All]" dimensionUniqueName="[TabSpecificationWork_1]" displayFolder="" count="2" memberValueDatatype="130" unbalanced="0">
      <fieldsUsage count="2">
        <fieldUsage x="-1"/>
        <fieldUsage x="0"/>
      </fieldsUsage>
    </cacheHierarchy>
    <cacheHierarchy uniqueName="[TabSpecificationWork_1].[IDset]" caption="IDset" attribute="1" defaultMemberUniqueName="[TabSpecificationWork_1].[IDset].[All]" allUniqueName="[TabSpecificationWork_1].[IDset].[All]" dimensionUniqueName="[TabSpecificationWork_1]" displayFolder="" count="0" memberValueDatatype="20" unbalanced="0"/>
    <cacheHierarchy uniqueName="[TabSpecificationWork_1].[NUM SEQUENCE SET]" caption="NUM SEQUENCE SET" attribute="1" defaultMemberUniqueName="[TabSpecificationWork_1].[NUM SEQUENCE SET].[All]" allUniqueName="[TabSpecificationWork_1].[NUM SEQUENCE SET].[All]" dimensionUniqueName="[TabSpecificationWork_1]" displayFolder="" count="0" memberValueDatatype="20" unbalanced="0"/>
    <cacheHierarchy uniqueName="[TabSpecificationWork_1].[NUM FULL SET]" caption="NUM FULL SET" attribute="1" defaultMemberUniqueName="[TabSpecificationWork_1].[NUM FULL SET].[All]" allUniqueName="[TabSpecificationWork_1].[NUM FULL SET].[All]" dimensionUniqueName="[TabSpecificationWork_1]" displayFolder="" count="2" memberValueDatatype="130" unbalanced="0">
      <fieldsUsage count="2">
        <fieldUsage x="-1"/>
        <fieldUsage x="7"/>
      </fieldsUsage>
    </cacheHierarchy>
    <cacheHierarchy uniqueName="[TabSpecificationWork_1].[isSHIPPED]" caption="isSHIPPED" attribute="1" defaultMemberUniqueName="[TabSpecificationWork_1].[isSHIPPED].[All]" allUniqueName="[TabSpecificationWork_1].[isSHIPPED].[All]" dimensionUniqueName="[TabSpecificationWork_1]" displayFolder="" count="2" memberValueDatatype="130" unbalanced="0">
      <fieldsUsage count="2">
        <fieldUsage x="-1"/>
        <fieldUsage x="5"/>
      </fieldsUsage>
    </cacheHierarchy>
    <cacheHierarchy uniqueName="[TabSpecificationWork_1].[HASH COLLECTION]" caption="HASH COLLECTION" attribute="1" defaultMemberUniqueName="[TabSpecificationWork_1].[HASH COLLECTION].[All]" allUniqueName="[TabSpecificationWork_1].[HASH COLLECTION].[All]" dimensionUniqueName="[TabSpecificationWork_1]" displayFolder="" count="0" memberValueDatatype="130" unbalanced="0"/>
    <cacheHierarchy uniqueName="[TabSpecificationWork_1].[NAME PRODUCT]" caption="NAME PRODUCT" attribute="1" defaultMemberUniqueName="[TabSpecificationWork_1].[NAME PRODUCT].[All]" allUniqueName="[TabSpecificationWork_1].[NAME PRODUCT].[All]" dimensionUniqueName="[TabSpecificationWork_1]" displayFolder="" count="2" memberValueDatatype="130" unbalanced="0">
      <fieldsUsage count="2">
        <fieldUsage x="-1"/>
        <fieldUsage x="3"/>
      </fieldsUsage>
    </cacheHierarchy>
    <cacheHierarchy uniqueName="[TabSpecificationWork_1].[DESCRIPTION PRODUCT]" caption="DESCRIPTION PRODUCT" attribute="1" defaultMemberUniqueName="[TabSpecificationWork_1].[DESCRIPTION PRODUCT].[All]" allUniqueName="[TabSpecificationWork_1].[DESCRIPTION PRODUCT].[All]" dimensionUniqueName="[TabSpecificationWork_1]" displayFolder="" count="0" memberValueDatatype="130" unbalanced="0"/>
    <cacheHierarchy uniqueName="[TabSpecificationWork_1].[BRAND]" caption="BRAND" attribute="1" defaultMemberUniqueName="[TabSpecificationWork_1].[BRAND].[All]" allUniqueName="[TabSpecificationWork_1].[BRAND].[All]" dimensionUniqueName="[TabSpecificationWork_1]" displayFolder="" count="0" memberValueDatatype="130" unbalanced="0"/>
    <cacheHierarchy uniqueName="[TabSpecificationWork_1].[SUPPLIER]" caption="SUPPLIER" attribute="1" defaultMemberUniqueName="[TabSpecificationWork_1].[SUPPLIER].[All]" allUniqueName="[TabSpecificationWork_1].[SUPPLIER].[All]" dimensionUniqueName="[TabSpecificationWork_1]" displayFolder="" count="0" memberValueDatatype="130" unbalanced="0"/>
    <cacheHierarchy uniqueName="[TabSpecificationWork_1].[ARTICLE SUPPLIER]" caption="ARTICLE SUPPLIER" attribute="1" defaultMemberUniqueName="[TabSpecificationWork_1].[ARTICLE SUPPLIER].[All]" allUniqueName="[TabSpecificationWork_1].[ARTICLE SUPPLIER].[All]" dimensionUniqueName="[TabSpecificationWork_1]" displayFolder="" count="0" memberValueDatatype="130" unbalanced="0"/>
    <cacheHierarchy uniqueName="[TabSpecificationWork_1].[ARTICLE INTERNAL]" caption="ARTICLE INTERNAL" attribute="1" defaultMemberUniqueName="[TabSpecificationWork_1].[ARTICLE INTERNAL].[All]" allUniqueName="[TabSpecificationWork_1].[ARTICLE INTERNAL].[All]" dimensionUniqueName="[TabSpecificationWork_1]" displayFolder="" count="0" memberValueDatatype="130" unbalanced="0"/>
    <cacheHierarchy uniqueName="[TabSpecificationWork_1].[UNITS]" caption="UNITS" attribute="1" defaultMemberUniqueName="[TabSpecificationWork_1].[UNITS].[All]" allUniqueName="[TabSpecificationWork_1].[UNITS].[All]" dimensionUniqueName="[TabSpecificationWork_1]" displayFolder="" count="0" memberValueDatatype="130" unbalanced="0"/>
    <cacheHierarchy uniqueName="[TabSpecificationWork_1].[QUANTITY SET]" caption="QUANTITY SET" attribute="1" defaultMemberUniqueName="[TabSpecificationWork_1].[QUANTITY SET].[All]" allUniqueName="[TabSpecificationWork_1].[QUANTITY SET].[All]" dimensionUniqueName="[TabSpecificationWork_1]" displayFolder="" count="0" memberValueDatatype="20" unbalanced="0"/>
    <cacheHierarchy uniqueName="[TabSpecificationWork_1].[QUANTITY SHIPPED SET]" caption="QUANTITY SHIPPED SET" attribute="1" defaultMemberUniqueName="[TabSpecificationWork_1].[QUANTITY SHIPPED SET].[All]" allUniqueName="[TabSpecificationWork_1].[QUANTITY SHIPPED SET].[All]" dimensionUniqueName="[TabSpecificationWork_1]" displayFolder="" count="0" memberValueDatatype="20" unbalanced="0"/>
    <cacheHierarchy uniqueName="[TabSpecificationWork_1].[QUANTITY TOTAL]" caption="QUANTITY TOTAL" attribute="1" defaultMemberUniqueName="[TabSpecificationWork_1].[QUANTITY TOTAL].[All]" allUniqueName="[TabSpecificationWork_1].[QUANTITY TOTAL].[All]" dimensionUniqueName="[TabSpecificationWork_1]" displayFolder="" count="0" memberValueDatatype="20" unbalanced="0"/>
    <cacheHierarchy uniqueName="[TabSpecificationWork_1].[QUANTITY SUPPLIER]" caption="QUANTITY SUPPLIER" attribute="1" defaultMemberUniqueName="[TabSpecificationWork_1].[QUANTITY SUPPLIER].[All]" allUniqueName="[TabSpecificationWork_1].[QUANTITY SUPPLIER].[All]" dimensionUniqueName="[TabSpecificationWork_1]" displayFolder="" count="0" memberValueDatatype="20" unbalanced="0"/>
    <cacheHierarchy uniqueName="[TabSpecificationWork_1].[PRICE UNIT $PURCHASE]" caption="PRICE UNIT $PURCHASE" attribute="1" defaultMemberUniqueName="[TabSpecificationWork_1].[PRICE UNIT $PURCHASE].[All]" allUniqueName="[TabSpecificationWork_1].[PRICE UNIT $PURCHASE].[All]" dimensionUniqueName="[TabSpecificationWork_1]" displayFolder="" count="0" memberValueDatatype="5" unbalanced="0"/>
    <cacheHierarchy uniqueName="[TabSpecificationWork_1].[COST PRICE $PURCHASE]" caption="COST PRICE $PURCHASE" attribute="1" defaultMemberUniqueName="[TabSpecificationWork_1].[COST PRICE $PURCHASE].[All]" allUniqueName="[TabSpecificationWork_1].[COST PRICE $PURCHASE].[All]" dimensionUniqueName="[TabSpecificationWork_1]" displayFolder="" count="0" memberValueDatatype="5" unbalanced="0"/>
    <cacheHierarchy uniqueName="[TabSpecificationWork_1].[TCP SOURCE]" caption="TCP SOURCE" attribute="1" defaultMemberUniqueName="[TabSpecificationWork_1].[TCP SOURCE].[All]" allUniqueName="[TabSpecificationWork_1].[TCP SOURCE].[All]" dimensionUniqueName="[TabSpecificationWork_1]" displayFolder="" count="0" memberValueDatatype="130" unbalanced="0"/>
    <cacheHierarchy uniqueName="[TabSpecificationWork_1].[COMMENT WORK]" caption="COMMENT WORK" attribute="1" defaultMemberUniqueName="[TabSpecificationWork_1].[COMMENT WORK].[All]" allUniqueName="[TabSpecificationWork_1].[COMMENT WORK].[All]" dimensionUniqueName="[TabSpecificationWork_1]" displayFolder="" count="0" memberValueDatatype="130" unbalanced="0"/>
    <cacheHierarchy uniqueName="[TabSpecificationWork_1].[URL PRODUCT]" caption="URL PRODUCT" attribute="1" defaultMemberUniqueName="[TabSpecificationWork_1].[URL PRODUCT].[All]" allUniqueName="[TabSpecificationWork_1].[URL PRODUCT].[All]" dimensionUniqueName="[TabSpecificationWork_1]" displayFolder="" count="0" memberValueDatatype="130" unbalanced="0"/>
    <cacheHierarchy uniqueName="[TabSpecificationWork_1].[IMAGE PRODUCT]" caption="IMAGE PRODUCT" attribute="1" defaultMemberUniqueName="[TabSpecificationWork_1].[IMAGE PRODUCT].[All]" allUniqueName="[TabSpecificationWork_1].[IMAGE PRODUCT].[All]" dimensionUniqueName="[TabSpecificationWork_1]" displayFolder="" count="0" memberValueDatatype="130" unbalanced="0"/>
    <cacheHierarchy uniqueName="[TabSpecificationWork_2].[HASH COLLECTION]" caption="HASH COLLECTION" attribute="1" defaultMemberUniqueName="[TabSpecificationWork_2].[HASH COLLECTION].[All]" allUniqueName="[TabSpecificationWork_2].[HASH COLLECTION].[All]" dimensionUniqueName="[TabSpecificationWork_2]" displayFolder="" count="0" memberValueDatatype="130" unbalanced="0"/>
    <cacheHierarchy uniqueName="[TabSpecificationWork_2].[COEFFICIENT MARKUP]" caption="COEFFICIENT MARKUP" attribute="1" defaultMemberUniqueName="[TabSpecificationWork_2].[COEFFICIENT MARKUP].[All]" allUniqueName="[TabSpecificationWork_2].[COEFFICIENT MARKUP].[All]" dimensionUniqueName="[TabSpecificationWork_2]" displayFolder="" count="0" memberValueDatatype="5" unbalanced="0"/>
    <cacheHierarchy uniqueName="[TabSpecificationWork_2].[PRICE UNIT $SALE]" caption="PRICE UNIT $SALE" attribute="1" defaultMemberUniqueName="[TabSpecificationWork_2].[PRICE UNIT $SALE].[All]" allUniqueName="[TabSpecificationWork_2].[PRICE UNIT $SALE].[All]" dimensionUniqueName="[TabSpecificationWork_2]" displayFolder="" count="0" memberValueDatatype="5" unbalanced="0"/>
    <cacheHierarchy uniqueName="[TabSpecificationWork_2].[COST DEAL $SALE]" caption="COST DEAL $SALE" attribute="1" defaultMemberUniqueName="[TabSpecificationWork_2].[COST DEAL $SALE].[All]" allUniqueName="[TabSpecificationWork_2].[COST DEAL $SALE].[All]" dimensionUniqueName="[TabSpecificationWork_2]" displayFolder="" count="0" memberValueDatatype="5" unbalanced="0"/>
    <cacheHierarchy uniqueName="[TabSpecificationWork_2].[DISCOUNT PERCENT]" caption="DISCOUNT PERCENT" attribute="1" defaultMemberUniqueName="[TabSpecificationWork_2].[DISCOUNT PERCENT].[All]" allUniqueName="[TabSpecificationWork_2].[DISCOUNT PERCENT].[All]" dimensionUniqueName="[TabSpecificationWork_2]" displayFolder="" count="0" memberValueDatatype="20" unbalanced="0"/>
    <cacheHierarchy uniqueName="[TabSpecificationWork_2].[DISCOUNT MONEY]" caption="DISCOUNT MONEY" attribute="1" defaultMemberUniqueName="[TabSpecificationWork_2].[DISCOUNT MONEY].[All]" allUniqueName="[TabSpecificationWork_2].[DISCOUNT MONEY].[All]" dimensionUniqueName="[TabSpecificationWork_2]" displayFolder="" count="0" memberValueDatatype="20" unbalanced="0"/>
    <cacheHierarchy uniqueName="[TabSpecificationWork_2].[FORMULA SPECIFIC COST]" caption="FORMULA SPECIFIC COST" attribute="1" defaultMemberUniqueName="[TabSpecificationWork_2].[FORMULA SPECIFIC COST].[All]" allUniqueName="[TabSpecificationWork_2].[FORMULA SPECIFIC COST].[All]" dimensionUniqueName="[TabSpecificationWork_2]" displayFolder="" count="0" memberValueDatatype="130" unbalanced="0"/>
    <cacheHierarchy uniqueName="[TabSpecificationWork_2].[PRICE UNIT $TOTAL]" caption="PRICE UNIT $TOTAL" attribute="1" defaultMemberUniqueName="[TabSpecificationWork_2].[PRICE UNIT $TOTAL].[All]" allUniqueName="[TabSpecificationWork_2].[PRICE UNIT $TOTAL].[All]" dimensionUniqueName="[TabSpecificationWork_2]" displayFolder="" count="0" memberValueDatatype="5" unbalanced="0"/>
    <cacheHierarchy uniqueName="[TabSpecificationWork_2].[COST $TOTAL]" caption="COST $TOTAL" attribute="1" defaultMemberUniqueName="[TabSpecificationWork_2].[COST $TOTAL].[All]" allUniqueName="[TabSpecificationWork_2].[COST $TOTAL].[All]" dimensionUniqueName="[TabSpecificationWork_2]" displayFolder="" count="0" memberValueDatatype="5" unbalanced="0"/>
    <cacheHierarchy uniqueName="[TabSpecificationWork_2].[DURATION SALE $TOTAL]" caption="DURATION SALE $TOTAL" attribute="1" defaultMemberUniqueName="[TabSpecificationWork_2].[DURATION SALE $TOTAL].[All]" allUniqueName="[TabSpecificationWork_2].[DURATION SALE $TOTAL].[All]" dimensionUniqueName="[TabSpecificationWork_2]" displayFolder="" count="0" memberValueDatatype="130" unbalanced="0"/>
    <cacheHierarchy uniqueName="[TabSpecificationWork_2].[isSUPPLIED]" caption="isSUPPLIED" attribute="1" defaultMemberUniqueName="[TabSpecificationWork_2].[isSUPPLIED].[All]" allUniqueName="[TabSpecificationWork_2].[isSUPPLIED].[All]" dimensionUniqueName="[TabSpecificationWork_2]" displayFolder="" count="0" memberValueDatatype="130" unbalanced="0"/>
    <cacheHierarchy uniqueName="[TabSpecificationWork_2].[isPROCESSING]" caption="isPROCESSING" attribute="1" defaultMemberUniqueName="[TabSpecificationWork_2].[isPROCESSING].[All]" allUniqueName="[TabSpecificationWork_2].[isPROCESSING].[All]" dimensionUniqueName="[TabSpecificationWork_2]" displayFolder="" count="0" memberValueDatatype="130" unbalanced="0"/>
    <cacheHierarchy uniqueName="[TabSpecificationWork_2].[COMMENT CUSTOMER]" caption="COMMENT CUSTOMER" attribute="1" defaultMemberUniqueName="[TabSpecificationWork_2].[COMMENT CUSTOMER].[All]" allUniqueName="[TabSpecificationWork_2].[COMMENT CUSTOMER].[All]" dimensionUniqueName="[TabSpecificationWork_2]" displayFolder="" count="0" memberValueDatatype="130" unbalanced="0"/>
    <cacheHierarchy uniqueName="[Measures].[__XL_Count TabSpecificationWork_1]" caption="__XL_Count TabSpecificationWork_1" measure="1" displayFolder="" measureGroup="TabSpecificationWork_1" count="0" hidden="1"/>
    <cacheHierarchy uniqueName="[Measures].[__XL_Count TabSpecificationWork_2]" caption="__XL_Count TabSpecificationWork_2" measure="1" displayFolder="" measureGroup="TabSpecificationWork_2" count="0" hidden="1"/>
    <cacheHierarchy uniqueName="[Measures].[__Не определено ни одной меры]" caption="__Не определено ни одной меры" measure="1" displayFolder="" count="0" hidden="1"/>
    <cacheHierarchy uniqueName="[Measures].[Сумма по столбцу COEFFICIENT MARKUP]" caption="Сумма по столбцу COEFFICIENT MARKUP" measure="1" displayFolder="" measureGroup="TabSpecificationWork_2" count="0" hidden="1">
      <extLst>
        <ext xmlns:x15="http://schemas.microsoft.com/office/spreadsheetml/2010/11/main" uri="{B97F6D7D-B522-45F9-BDA1-12C45D357490}">
          <x15:cacheHierarchy aggregatedColumn="29"/>
        </ext>
      </extLst>
    </cacheHierarchy>
    <cacheHierarchy uniqueName="[Measures].[Сумма по столбцу PRICE UNIT $SALE]" caption="Сумма по столбцу PRICE UNIT $SALE" measure="1" displayFolder="" measureGroup="TabSpecificationWork_2" count="0" hidden="1">
      <extLst>
        <ext xmlns:x15="http://schemas.microsoft.com/office/spreadsheetml/2010/11/main" uri="{B97F6D7D-B522-45F9-BDA1-12C45D357490}">
          <x15:cacheHierarchy aggregatedColumn="30"/>
        </ext>
      </extLst>
    </cacheHierarchy>
    <cacheHierarchy uniqueName="[Measures].[Сумма по столбцу COST DEAL $SALE]" caption="Сумма по столбцу COST DEAL $SALE" measure="1" displayFolder="" measureGroup="TabSpecificationWork_2" count="0" hidden="1">
      <extLst>
        <ext xmlns:x15="http://schemas.microsoft.com/office/spreadsheetml/2010/11/main" uri="{B97F6D7D-B522-45F9-BDA1-12C45D357490}">
          <x15:cacheHierarchy aggregatedColumn="31"/>
        </ext>
      </extLst>
    </cacheHierarchy>
    <cacheHierarchy uniqueName="[Measures].[Сумма по столбцу DISCOUNT PERCENT]" caption="Сумма по столбцу DISCOUNT PERCENT" measure="1" displayFolder="" measureGroup="TabSpecificationWork_2" count="0" hidden="1">
      <extLst>
        <ext xmlns:x15="http://schemas.microsoft.com/office/spreadsheetml/2010/11/main" uri="{B97F6D7D-B522-45F9-BDA1-12C45D357490}">
          <x15:cacheHierarchy aggregatedColumn="32"/>
        </ext>
      </extLst>
    </cacheHierarchy>
    <cacheHierarchy uniqueName="[Measures].[Сумма по столбцу DISCOUNT MONEY]" caption="Сумма по столбцу DISCOUNT MONEY" measure="1" displayFolder="" measureGroup="TabSpecificationWork_2" count="0" hidden="1">
      <extLst>
        <ext xmlns:x15="http://schemas.microsoft.com/office/spreadsheetml/2010/11/main" uri="{B97F6D7D-B522-45F9-BDA1-12C45D357490}">
          <x15:cacheHierarchy aggregatedColumn="33"/>
        </ext>
      </extLst>
    </cacheHierarchy>
    <cacheHierarchy uniqueName="[Measures].[Сумма по столбцу QUANTITY SET]" caption="Сумма по столбцу QUANTITY SET" measure="1" displayFolder="" measureGroup="TabSpecificationWork_1" count="0" hidden="1">
      <extLst>
        <ext xmlns:x15="http://schemas.microsoft.com/office/spreadsheetml/2010/11/main" uri="{B97F6D7D-B522-45F9-BDA1-12C45D357490}">
          <x15:cacheHierarchy aggregatedColumn="18"/>
        </ext>
      </extLst>
    </cacheHierarchy>
    <cacheHierarchy uniqueName="[Measures].[Сумма по столбцу QUANTITY SHIPPED SET]" caption="Сумма по столбцу QUANTITY SHIPPED SET" measure="1" displayFolder="" measureGroup="TabSpecificationWork_1" count="0" hidden="1">
      <extLst>
        <ext xmlns:x15="http://schemas.microsoft.com/office/spreadsheetml/2010/11/main" uri="{B97F6D7D-B522-45F9-BDA1-12C45D357490}">
          <x15:cacheHierarchy aggregatedColumn="19"/>
        </ext>
      </extLst>
    </cacheHierarchy>
    <cacheHierarchy uniqueName="[Measures].[Сумма по столбцу QUANTITY TOTAL]" caption="Сумма по столбцу QUANTITY TOTAL" measure="1" displayFolder="" measureGroup="TabSpecificationWork_1" count="0" oneField="1" hidden="1">
      <fieldsUsage count="1">
        <fieldUsage x="6"/>
      </fieldsUsage>
      <extLst>
        <ext xmlns:x15="http://schemas.microsoft.com/office/spreadsheetml/2010/11/main" uri="{B97F6D7D-B522-45F9-BDA1-12C45D357490}">
          <x15:cacheHierarchy aggregatedColumn="20"/>
        </ext>
      </extLst>
    </cacheHierarchy>
    <cacheHierarchy uniqueName="[Measures].[Число элементов в столбце IDset]" caption="Число элементов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Сумма по столбцу COST PRICE $PURCHASE]" caption="Сумма по столбцу COST PRICE $PURCHASE" measure="1" displayFolder="" measureGroup="TabSpecificationWork_1" count="0" oneField="1" hidden="1">
      <fieldsUsage count="1">
        <fieldUsage x="2"/>
      </fieldsUsage>
      <extLst>
        <ext xmlns:x15="http://schemas.microsoft.com/office/spreadsheetml/2010/11/main" uri="{B97F6D7D-B522-45F9-BDA1-12C45D357490}">
          <x15:cacheHierarchy aggregatedColumn="23"/>
        </ext>
      </extLst>
    </cacheHierarchy>
    <cacheHierarchy uniqueName="[Measures].[Максимум в столбце COST PRICE $PURCHASE]" caption="Максимум в столбце COST PRICE $PURCHASE" measure="1" displayFolder="" measureGroup="TabSpecificationWork_1" count="0" hidden="1">
      <extLst>
        <ext xmlns:x15="http://schemas.microsoft.com/office/spreadsheetml/2010/11/main" uri="{B97F6D7D-B522-45F9-BDA1-12C45D357490}">
          <x15:cacheHierarchy aggregatedColumn="23"/>
        </ext>
      </extLst>
    </cacheHierarchy>
    <cacheHierarchy uniqueName="[Measures].[Сумма по столбцу COST $TOTAL]" caption="Сумма по столбцу COST $TOTAL" measure="1" displayFolder="" measureGroup="TabSpecificationWork_2" count="0" oneField="1" hidden="1">
      <fieldsUsage count="1">
        <fieldUsage x="4"/>
      </fieldsUsage>
      <extLst>
        <ext xmlns:x15="http://schemas.microsoft.com/office/spreadsheetml/2010/11/main" uri="{B97F6D7D-B522-45F9-BDA1-12C45D357490}">
          <x15:cacheHierarchy aggregatedColumn="36"/>
        </ext>
      </extLst>
    </cacheHierarchy>
    <cacheHierarchy uniqueName="[Measures].[Максимум в столбце COST $TOTAL]" caption="Максимум в столбце COST $TOTAL" measure="1" displayFolder="" measureGroup="TabSpecificationWork_2" count="0" hidden="1">
      <extLst>
        <ext xmlns:x15="http://schemas.microsoft.com/office/spreadsheetml/2010/11/main" uri="{B97F6D7D-B522-45F9-BDA1-12C45D357490}">
          <x15:cacheHierarchy aggregatedColumn="36"/>
        </ext>
      </extLst>
    </cacheHierarchy>
    <cacheHierarchy uniqueName="[Measures].[Сумма по столбцу IDset]" caption="Сумма по столбцу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IDset]" caption="Максимум в столбце IDset" measure="1" displayFolder="" measureGroup="TabSpecificationWork_1" count="0" hidden="1">
      <extLst>
        <ext xmlns:x15="http://schemas.microsoft.com/office/spreadsheetml/2010/11/main" uri="{B97F6D7D-B522-45F9-BDA1-12C45D357490}">
          <x15:cacheHierarchy aggregatedColumn="6"/>
        </ext>
      </extLst>
    </cacheHierarchy>
    <cacheHierarchy uniqueName="[Measures].[Максимум в столбце QUANTITY TOTAL]" caption="Максимум в столбце QUANTITY TOTAL" measure="1" displayFolder="" measureGroup="TabSpecificationWork_1" count="0" hidden="1">
      <extLst>
        <ext xmlns:x15="http://schemas.microsoft.com/office/spreadsheetml/2010/11/main" uri="{B97F6D7D-B522-45F9-BDA1-12C45D357490}">
          <x15:cacheHierarchy aggregatedColumn="20"/>
        </ext>
      </extLst>
    </cacheHierarchy>
    <cacheHierarchy uniqueName="[Measures].[Число элементов в столбце NUM FULL SET]" caption="Число элементов в столбце NUM FULL SET" measure="1" displayFolder="" measureGroup="TabSpecificationWork_1" count="0" hidden="1">
      <extLst>
        <ext xmlns:x15="http://schemas.microsoft.com/office/spreadsheetml/2010/11/main" uri="{B97F6D7D-B522-45F9-BDA1-12C45D357490}">
          <x15:cacheHierarchy aggregatedColumn="8"/>
        </ext>
      </extLst>
    </cacheHierarchy>
  </cacheHierarchies>
  <kpis count="0"/>
  <dimensions count="3">
    <dimension measure="1" name="Measures" uniqueName="[Measures]" caption="Measures"/>
    <dimension name="TabSpecificationWork_1" uniqueName="[TabSpecificationWork_1]" caption="TabSpecificationWork_1"/>
    <dimension name="TabSpecificationWork_2" uniqueName="[TabSpecificationWork_2]" caption="TabSpecificationWork_2"/>
  </dimensions>
  <measureGroups count="2">
    <measureGroup name="TabSpecificationWork_1" caption="TabSpecificationWork_1"/>
    <measureGroup name="TabSpecificationWork_2" caption="TabSpecificationWork_2"/>
  </measureGroups>
  <maps count="3">
    <map measureGroup="0" dimension="1"/>
    <map measureGroup="1"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630F92-2C79-4E2B-A25C-57BFA29CC982}" name="Сводная таблица7" cacheId="0" applyNumberFormats="0" applyBorderFormats="0" applyFontFormats="0" applyPatternFormats="0" applyAlignmentFormats="0" applyWidthHeightFormats="1" dataCaption="Значения" tag="50e29880-fb16-401c-a6e9-1e6c127231d5" updatedVersion="8" minRefreshableVersion="3" subtotalHiddenItems="1" itemPrintTitles="1" createdVersion="8" indent="0" showEmptyRow="1" outline="1" outlineData="1" multipleFieldFilters="0" rowHeaderCaption="НАИМЕНОВАНИЕ ПОЗИЦИИ">
  <location ref="A6:D16" firstHeaderRow="0" firstDataRow="1" firstDataCol="1" rowPageCount="3" colPageCount="1"/>
  <pivotFields count="8">
    <pivotField axis="axisRow" allDrilled="1" subtotalTop="0" showAll="0" dataSourceSort="1" defaultSubtotal="0" defaultAttributeDrillState="1">
      <items count="5">
        <item x="0"/>
        <item x="1"/>
        <item x="2"/>
        <item x="3"/>
        <item x="4"/>
      </items>
    </pivotField>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xis="axisPage" allDrilled="1" subtotalTop="0" showAll="0" dataSourceSort="1" defaultSubtotal="0" defaultAttributeDrillState="1"/>
    <pivotField dataField="1" subtotalTop="0" showAll="0" defaultSubtotal="0"/>
    <pivotField axis="axisPage" allDrilled="1" subtotalTop="0" showAll="0" dataSourceSort="1" defaultSubtotal="0" defaultAttributeDrillState="1"/>
  </pivotFields>
  <rowFields count="2">
    <field x="0"/>
    <field x="3"/>
  </rowFields>
  <rowItems count="10">
    <i>
      <x/>
    </i>
    <i r="1">
      <x/>
    </i>
    <i r="1">
      <x v="1"/>
    </i>
    <i r="1">
      <x v="2"/>
    </i>
    <i>
      <x v="1"/>
    </i>
    <i r="1">
      <x v="3"/>
    </i>
    <i r="1">
      <x v="4"/>
    </i>
    <i r="1">
      <x v="5"/>
    </i>
    <i r="1">
      <x v="6"/>
    </i>
    <i t="grand">
      <x/>
    </i>
  </rowItems>
  <colFields count="1">
    <field x="-2"/>
  </colFields>
  <colItems count="3">
    <i>
      <x/>
    </i>
    <i i="1">
      <x v="1"/>
    </i>
    <i i="2">
      <x v="2"/>
    </i>
  </colItems>
  <pageFields count="3">
    <pageField fld="1" hier="2" name="[TabSpecificationWork_1].[NUM PROJECT].&amp;[1/2024-N3-ГОРИЗОНТ]" cap="1/2024-N3-ГОРИЗОНТ"/>
    <pageField fld="5" hier="9" name="[TabSpecificationWork_1].[isSHIPPED].[All]" cap="All"/>
    <pageField fld="7" hier="8" name="[TabSpecificationWork_1].[NUM FULL SET].&amp;[1.1]" cap="1.1"/>
  </pageFields>
  <dataFields count="3">
    <dataField name="Сумма по столбцу QUANTITY TOTAL" fld="6" baseField="3" baseItem="1"/>
    <dataField name="Сумма по столбцу COST PRICE $PURCHASE" fld="2" baseField="3" baseItem="1"/>
    <dataField name="COST $TOTAL" fld="4" baseField="3" baseItem="1"/>
  </dataFields>
  <formats count="34">
    <format dxfId="111">
      <pivotArea dataOnly="0" labelOnly="1" outline="0" axis="axisValues" fieldPosition="0"/>
    </format>
    <format dxfId="110">
      <pivotArea dataOnly="0" labelOnly="1" outline="0" axis="axisValues" fieldPosition="0"/>
    </format>
    <format dxfId="109">
      <pivotArea dataOnly="0" outline="0" fieldPosition="0">
        <references count="1">
          <reference field="4294967294" count="1">
            <x v="1"/>
          </reference>
        </references>
      </pivotArea>
    </format>
    <format dxfId="108">
      <pivotArea dataOnly="0" outline="0" fieldPosition="0">
        <references count="1">
          <reference field="4294967294" count="1">
            <x v="1"/>
          </reference>
        </references>
      </pivotArea>
    </format>
    <format dxfId="107">
      <pivotArea dataOnly="0" outline="0" fieldPosition="0">
        <references count="1">
          <reference field="4294967294" count="1">
            <x v="0"/>
          </reference>
        </references>
      </pivotArea>
    </format>
    <format dxfId="106">
      <pivotArea dataOnly="0" outline="0" fieldPosition="0">
        <references count="1">
          <reference field="4294967294" count="1">
            <x v="0"/>
          </reference>
        </references>
      </pivotArea>
    </format>
    <format dxfId="105">
      <pivotArea dataOnly="0" outline="0" fieldPosition="0">
        <references count="1">
          <reference field="4294967294" count="1">
            <x v="1"/>
          </reference>
        </references>
      </pivotArea>
    </format>
    <format dxfId="104">
      <pivotArea field="1" type="button" dataOnly="0" labelOnly="1" outline="0" axis="axisPage" fieldPosition="0"/>
    </format>
    <format dxfId="103">
      <pivotArea field="0" type="button" dataOnly="0" labelOnly="1" outline="0" axis="axisRow" fieldPosition="0"/>
    </format>
    <format dxfId="102">
      <pivotArea dataOnly="0" labelOnly="1" fieldPosition="0">
        <references count="1">
          <reference field="0" count="0"/>
        </references>
      </pivotArea>
    </format>
    <format dxfId="101">
      <pivotArea dataOnly="0" labelOnly="1" grandRow="1" outline="0" fieldPosition="0"/>
    </format>
    <format dxfId="100">
      <pivotArea dataOnly="0" labelOnly="1" fieldPosition="0">
        <references count="2">
          <reference field="0" count="1" selected="0">
            <x v="1"/>
          </reference>
          <reference field="3" count="2">
            <x v="5"/>
            <x v="11"/>
          </reference>
        </references>
      </pivotArea>
    </format>
    <format dxfId="99">
      <pivotArea dataOnly="0" labelOnly="1" fieldPosition="0">
        <references count="2">
          <reference field="0" count="1" selected="0">
            <x v="3"/>
          </reference>
          <reference field="3" count="2">
            <x v="7"/>
            <x v="8"/>
          </reference>
        </references>
      </pivotArea>
    </format>
    <format dxfId="98">
      <pivotArea field="1" type="button" dataOnly="0" labelOnly="1" outline="0" axis="axisPage" fieldPosition="0"/>
    </format>
    <format dxfId="97">
      <pivotArea dataOnly="0" labelOnly="1" outline="0" fieldPosition="0">
        <references count="1">
          <reference field="4294967294" count="1">
            <x v="2"/>
          </reference>
        </references>
      </pivotArea>
    </format>
    <format dxfId="96">
      <pivotArea outline="0" collapsedLevelsAreSubtotals="1" fieldPosition="0">
        <references count="1">
          <reference field="4294967294" count="1" selected="0">
            <x v="2"/>
          </reference>
        </references>
      </pivotArea>
    </format>
    <format dxfId="95">
      <pivotArea field="0" grandRow="1" outline="0" collapsedLevelsAreSubtotals="1" axis="axisRow" fieldPosition="0">
        <references count="1">
          <reference field="4294967294" count="1" selected="0">
            <x v="2"/>
          </reference>
        </references>
      </pivotArea>
    </format>
    <format dxfId="94">
      <pivotArea dataOnly="0" outline="0" fieldPosition="0">
        <references count="1">
          <reference field="4294967294" count="1">
            <x v="0"/>
          </reference>
        </references>
      </pivotArea>
    </format>
    <format dxfId="93">
      <pivotArea dataOnly="0" labelOnly="1" outline="0" fieldPosition="0">
        <references count="1">
          <reference field="4294967294" count="1">
            <x v="0"/>
          </reference>
        </references>
      </pivotArea>
    </format>
    <format dxfId="92">
      <pivotArea field="0" type="button" dataOnly="0" labelOnly="1" outline="0" axis="axisRow" fieldPosition="0"/>
    </format>
    <format dxfId="91">
      <pivotArea dataOnly="0" labelOnly="1" fieldPosition="0">
        <references count="1">
          <reference field="0" count="0"/>
        </references>
      </pivotArea>
    </format>
    <format dxfId="90">
      <pivotArea dataOnly="0" labelOnly="1" grandRow="1" outline="0" fieldPosition="0"/>
    </format>
    <format dxfId="89">
      <pivotArea field="0" type="button" dataOnly="0" labelOnly="1" outline="0" axis="axisRow" fieldPosition="0"/>
    </format>
    <format dxfId="88">
      <pivotArea dataOnly="0" labelOnly="1" fieldPosition="0">
        <references count="1">
          <reference field="0" count="1">
            <x v="4"/>
          </reference>
        </references>
      </pivotArea>
    </format>
    <format dxfId="87">
      <pivotArea dataOnly="0" labelOnly="1" grandRow="1" outline="0" fieldPosition="0"/>
    </format>
    <format dxfId="86">
      <pivotArea dataOnly="0" labelOnly="1" fieldPosition="0">
        <references count="2">
          <reference field="0" count="1" selected="0">
            <x v="4"/>
          </reference>
          <reference field="3" count="2">
            <x v="9"/>
            <x v="10"/>
          </reference>
        </references>
      </pivotArea>
    </format>
    <format dxfId="85">
      <pivotArea field="0" type="button" dataOnly="0" labelOnly="1" outline="0" axis="axisRow" fieldPosition="0"/>
    </format>
    <format dxfId="84">
      <pivotArea dataOnly="0" labelOnly="1" fieldPosition="0">
        <references count="1">
          <reference field="0" count="4">
            <x v="0"/>
            <x v="1"/>
            <x v="2"/>
            <x v="3"/>
          </reference>
        </references>
      </pivotArea>
    </format>
    <format dxfId="83">
      <pivotArea dataOnly="0" labelOnly="1" grandRow="1" outline="0" fieldPosition="0"/>
    </format>
    <format dxfId="82">
      <pivotArea dataOnly="0" labelOnly="1" fieldPosition="0">
        <references count="1">
          <reference field="3" count="0"/>
        </references>
      </pivotArea>
    </format>
    <format dxfId="81">
      <pivotArea dataOnly="0" labelOnly="1" fieldPosition="0">
        <references count="1">
          <reference field="3" count="0"/>
        </references>
      </pivotArea>
    </format>
    <format dxfId="80">
      <pivotArea dataOnly="0" outline="0" fieldPosition="0">
        <references count="1">
          <reference field="4294967294" count="1">
            <x v="1"/>
          </reference>
        </references>
      </pivotArea>
    </format>
    <format dxfId="79">
      <pivotArea dataOnly="0" outline="0" fieldPosition="0">
        <references count="1">
          <reference field="4294967294" count="1">
            <x v="2"/>
          </reference>
        </references>
      </pivotArea>
    </format>
    <format dxfId="78">
      <pivotArea dataOnly="0" outline="0" fieldPosition="0">
        <references count="1">
          <reference field="4294967294" count="1">
            <x v="2"/>
          </reference>
        </references>
      </pivotArea>
    </format>
  </formats>
  <pivotHierarchies count="6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9" level="1">
        <member name="[TabSpecificationWork_1].[NUM FULL SET].&amp;[1.1]"/>
        <member name="[TabSpecificationWork_1].[NUM FULL SET].&amp;[1.2]"/>
        <member name="[TabSpecificationWork_1].[NUM FULL SET].&amp;[2.1]"/>
        <member name="[TabSpecificationWork_1].[NUM FULL SET].&amp;[2.2]"/>
        <member name="[TabSpecificationWork_1].[NUM FULL SET].&amp;[2.3]"/>
        <member name="[TabSpecificationWork_1].[NUM FULL SET].&amp;[2.4]"/>
        <member name="[TabSpecificationWork_1].[NUM FULL SET].&amp;[2.5]"/>
        <member name="[TabSpecificationWork_1].[NUM FULL SET].&amp;[3.1]"/>
        <member name="[TabSpecificationWork_1].[NUM FULL SET].&amp;[3.2]"/>
        <member name="[TabSpecificationWork_1].[NUM FULL SET].&amp;[3.3]"/>
        <member name="[TabSpecificationWork_1].[NUM FULL SET].&amp;[3.4]"/>
        <member name="[TabSpecificationWork_1].[NUM FULL SET].&amp;[3.5]"/>
        <member name="[TabSpecificationWork_1].[NUM FULL SET].&amp;[3.6]"/>
        <member name="[TabSpecificationWork_1].[NUM FULL SET].&amp;[4.1]"/>
        <member name="[TabSpecificationWork_1].[NUM FULL SET].&amp;[4.2]"/>
        <member name="[TabSpecificationWork_1].[NUM FULL SET].&amp;[4.3]"/>
        <member name="[TabSpecificationWork_1].[NUM FULL SET].&amp;[4.4]"/>
        <member name="[TabSpecificationWork_1].[NUM FULL SET].&amp;[4.6]"/>
        <member name="[TabSpecificationWork_1].[NUM FULL SET].&amp;[5.1]"/>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Сумма по столбцу QUANTITY TOTAL"/>
    <pivotHierarchy dragToData="1"/>
    <pivotHierarchy dragToData="1" caption="Сумма по столбцу COST PRICE $PURCHASE"/>
    <pivotHierarchy dragToData="1" caption="Максимум в столбце COST PRICE $PURCHASE"/>
    <pivotHierarchy dragToData="1" caption="COST $TOTAL"/>
    <pivotHierarchy dragToData="1" caption="Максимум в столбце COST $TOTAL"/>
    <pivotHierarchy dragToData="1"/>
    <pivotHierarchy dragToData="1" caption="IDset"/>
    <pivotHierarchy dragToData="1" caption="QUANTITY TOTAL"/>
    <pivotHierarchy dragToData="1"/>
  </pivotHierarchies>
  <pivotTableStyleInfo name="PivotStyleMedium6" showRowHeaders="1" showColHeaders="1" showRowStripes="0" showColStripes="0" showLastColumn="1"/>
  <rowHierarchiesUsage count="2">
    <rowHierarchyUsage hierarchyUsage="5"/>
    <rowHierarchyUsage hierarchyUsage="1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SpecificationWork_1]"/>
        <x15:activeTabTopLevelEntity name="[TabSpecificationWork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5" xr16:uid="{F1CCDB27-A76E-4759-AF84-FB1A0BBBBA95}" autoFormatId="16" applyNumberFormats="0" applyBorderFormats="0" applyFontFormats="0" applyPatternFormats="0" applyAlignmentFormats="0" applyWidthHeightFormats="0">
  <queryTableRefresh nextId="57">
    <queryTableFields count="47">
      <queryTableField id="1" name="IDnum" tableColumnId="1"/>
      <queryTableField id="2" name="IDsource" tableColumnId="2"/>
      <queryTableField id="3" name="NUM PROJECT" tableColumnId="3"/>
      <queryTableField id="4" name="NUM ORDER" tableColumnId="4"/>
      <queryTableField id="5" name="VER COLLECTION" tableColumnId="5"/>
      <queryTableField id="6" name="DESCRIPTION SET" tableColumnId="6"/>
      <queryTableField id="7" name="IDset" tableColumnId="7"/>
      <queryTableField id="8" name="NUM SEQUENCE SET" tableColumnId="8"/>
      <queryTableField id="9" name="NUM FULL SET" tableColumnId="9"/>
      <queryTableField id="10" name="isSHIPPED" tableColumnId="10"/>
      <queryTableField id="11" name="HASH COLLECTION" tableColumnId="11"/>
      <queryTableField id="12" name="NAME PRODUCT" tableColumnId="12"/>
      <queryTableField id="13" name="DESCRIPTION PRODUCT" tableColumnId="13"/>
      <queryTableField id="14" name="BRAND" tableColumnId="14"/>
      <queryTableField id="15" name="SUPPLIER" tableColumnId="15"/>
      <queryTableField id="16" name="ARTICLE SUPPLIER" tableColumnId="16"/>
      <queryTableField id="17" name="ARTICLE INTERNAL" tableColumnId="17"/>
      <queryTableField id="18" name="UNITS" tableColumnId="18"/>
      <queryTableField id="19" name="QUANTITY SET" tableColumnId="19"/>
      <queryTableField id="20" name="QUANTITY SHIPPED SET" tableColumnId="20"/>
      <queryTableField id="21" name="QUANTITY TOTAL" tableColumnId="21"/>
      <queryTableField id="22" name="QUANTITY SUPPLIER" tableColumnId="22"/>
      <queryTableField id="23" name="PRICE UNIT $PURCHASE" tableColumnId="23"/>
      <queryTableField id="41" name="VAT ADD PRICE $PURCHASE" tableColumnId="27"/>
      <queryTableField id="24" name="COST PRICE $PURCHASE" tableColumnId="24"/>
      <queryTableField id="42" name="COST PRICE VAT $PURCHASE" tableColumnId="41"/>
      <queryTableField id="25" name="TCP SOURCE" tableColumnId="25"/>
      <queryTableField id="26" name="COMMENT WORK" tableColumnId="26"/>
      <queryTableField id="43" name="URL PRODUCT" tableColumnId="42"/>
      <queryTableField id="28" name="IMAGE PRODUCT" tableColumnId="28"/>
      <queryTableField id="29" name="COEFFICIENT MARKUP" tableColumnId="29"/>
      <queryTableField id="30" name="PRICE UNIT $SALE" tableColumnId="30"/>
      <queryTableField id="31" name="COST DEAL $SALE" tableColumnId="31"/>
      <queryTableField id="32" name="DISCOUNT PERCENT" tableColumnId="32"/>
      <queryTableField id="33" name="DISCOUNT MONEY" tableColumnId="33"/>
      <queryTableField id="34" name="FORMULA SPECIFIC COST" tableColumnId="34"/>
      <queryTableField id="44" name="VAT RATE CONTRACTOR $TOTAL" tableColumnId="43"/>
      <queryTableField id="35" name="PRICE UNIT $TOTAL" tableColumnId="35"/>
      <queryTableField id="45" name="VAT ADD PRICE UNIT $TOTAL" tableColumnId="44"/>
      <queryTableField id="46" name="PRICE VAT UNIT $TOTAL" tableColumnId="45"/>
      <queryTableField id="36" name="COST $TOTAL" tableColumnId="36"/>
      <queryTableField id="47" name="COST ADD VAT $TOTAL" tableColumnId="46"/>
      <queryTableField id="48" name="COST VAT $TOTAL" tableColumnId="47"/>
      <queryTableField id="37" name="DURATION SALE $TOTAL" tableColumnId="37"/>
      <queryTableField id="38" name="isSUPPLIED" tableColumnId="38"/>
      <queryTableField id="39" name="isPROCESSING" tableColumnId="39"/>
      <queryTableField id="40" name="COMMENT CUSTOMER" tableColumnId="40"/>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6" xr16:uid="{AF17E717-7B70-4CA4-86E7-63CFF8DFFC6E}" autoFormatId="16" applyNumberFormats="0" applyBorderFormats="0" applyFontFormats="0" applyPatternFormats="0" applyAlignmentFormats="0" applyWidthHeightFormats="0">
  <queryTableRefresh nextId="7">
    <queryTableFields count="5">
      <queryTableField id="1" name="IDnum" tableColumnId="1"/>
      <queryTableField id="3" name="HASH COLLECTION" tableColumnId="3"/>
      <queryTableField id="2" name="IDprojectfull" tableColumnId="2"/>
      <queryTableField id="4" name="GENERAL CONTRACTOR" tableColumnId="4"/>
      <queryTableField id="5" name="PROJECT CHIEF ENGINEER"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53" xr16:uid="{DB1788FE-EABE-4806-8AE4-8B463E76D40B}" autoFormatId="16" applyNumberFormats="0" applyBorderFormats="0" applyFontFormats="0" applyPatternFormats="0" applyAlignmentFormats="0" applyWidthHeightFormats="0">
  <queryTableRefresh nextId="3">
    <queryTableFields count="2">
      <queryTableField id="1" name="IDvendor" tableColumnId="1"/>
      <queryTableField id="2" name="BRAND"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9" xr16:uid="{5FF5EC87-6B47-4F56-B531-6311735B8657}" autoFormatId="16" applyNumberFormats="0" applyBorderFormats="0" applyFontFormats="0" applyPatternFormats="0" applyAlignmentFormats="0" applyWidthHeightFormats="0">
  <queryTableRefresh nextId="6">
    <queryTableFields count="2">
      <queryTableField id="3" name="IDsupplier" tableColumnId="1"/>
      <queryTableField id="2" name="COMPANY_LABEL"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0" xr16:uid="{FAC7B856-09A1-469F-B852-89448551726D}" autoFormatId="16" applyNumberFormats="0" applyBorderFormats="0" applyFontFormats="0" applyPatternFormats="0" applyAlignmentFormats="0" applyWidthHeightFormats="0">
  <queryTableRefresh nextId="3">
    <queryTableFields count="2">
      <queryTableField id="1" name="IDnum" tableColumnId="1"/>
      <queryTableField id="2" name="UNITS" tableColumnId="2"/>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54" xr16:uid="{1F3CD3FB-6A4A-41DF-AB23-C155C39E466C}" autoFormatId="16" applyNumberFormats="0" applyBorderFormats="0" applyFontFormats="0" applyPatternFormats="0" applyAlignmentFormats="0" applyWidthHeightFormats="0">
  <queryTableRefresh nextId="9">
    <queryTableFields count="8">
      <queryTableField id="1" name="№" tableColumnId="1"/>
      <queryTableField id="2" name="НАИМЕНОВАНИЕ" tableColumnId="2"/>
      <queryTableField id="3" name="ЕД ИЗМ." tableColumnId="3"/>
      <queryTableField id="4" name="КОЛ-ВО" tableColumnId="4"/>
      <queryTableField id="5" name="ЦЕНА БЕЗ НДС, руб" tableColumnId="5"/>
      <queryTableField id="6" name="СТОИМОСТЬ БЕЗ НДС, руб" tableColumnId="6"/>
      <queryTableField id="7" name="НДС, руб" tableColumnId="7"/>
      <queryTableField id="8" name="ДЛИТЕЛЬНОСТЬ, КАЛ. ДНЕЙ" tableColumnId="8"/>
    </queryTableFields>
  </queryTableRefresh>
</queryTable>
</file>

<file path=xl/tables/_rels/table3.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42F276A-FCBF-4A3F-9BB6-CF6584DA62A7}" name="TabSpecificationWork_1" displayName="TabSpecificationWork_1" ref="A1:AD10" headerRowDxfId="256" dataDxfId="255">
  <autoFilter ref="A1:AD10" xr:uid="{442F276A-FCBF-4A3F-9BB6-CF6584DA62A7}"/>
  <tableColumns count="30">
    <tableColumn id="1" xr3:uid="{2A60F78A-557A-4C8A-A1E1-3BC16A6FE122}" name="IDnum" totalsRowLabel="Итог" dataDxfId="254" totalsRowDxfId="253"/>
    <tableColumn id="2" xr3:uid="{541234E3-F4FB-40FB-94E5-C48A42522446}" name="IDsource" dataDxfId="252" totalsRowDxfId="251"/>
    <tableColumn id="3" xr3:uid="{0B672A4C-E7A8-4307-AEA0-96DB12CAE848}" name="NUM PROJECT" dataDxfId="250" totalsRowDxfId="249"/>
    <tableColumn id="4" xr3:uid="{7C886965-9CC6-4F70-9A26-CD62DE88EE22}" name="NUM ORDER" dataDxfId="248" totalsRowDxfId="247">
      <calculatedColumnFormula>MID(TabSpecificationWork_1[[#This Row],[NUM PROJECT]], SEARCH("-N",TabSpecificationWork_1[[#This Row],[NUM PROJECT]])+2, SEARCH("-",TabSpecificationWork_1[[#This Row],[NUM PROJECT]],SEARCH("-",TabSpecificationWork_1[[#This Row],[NUM PROJECT]])+1) - (SEARCH("-N",TabSpecificationWork_1[[#This Row],[NUM PROJECT]])+2))</calculatedColumnFormula>
    </tableColumn>
    <tableColumn id="5" xr3:uid="{6AFA91E3-22E0-4EE8-BAC1-9C0C6B682136}" name="VER COLLECTION" dataDxfId="246" totalsRowDxfId="245"/>
    <tableColumn id="29" xr3:uid="{7E06C33D-E17B-437A-A8A1-B05832931B53}" name="DESCRIPTION SET" dataDxfId="244" totalsRowDxfId="243"/>
    <tableColumn id="6" xr3:uid="{60524C36-7891-4CDA-9758-A81A6E347383}" name="IDset" dataDxfId="242" totalsRowDxfId="241"/>
    <tableColumn id="7" xr3:uid="{70377ED0-0798-4786-A968-A1092A705384}" name="NUM SEQUENCE SET" dataDxfId="240" totalsRowDxfId="239"/>
    <tableColumn id="8" xr3:uid="{CD27A90F-05C1-4D45-8DD6-EA7D25D8F06C}" name="NUM FULL SET" dataDxfId="238" totalsRowDxfId="237">
      <calculatedColumnFormula>CONCATENATE(TabSpecificationWork_1[[#This Row],[IDset]],".",TabSpecificationWork_1[[#This Row],[NUM SEQUENCE SET]])</calculatedColumnFormula>
    </tableColumn>
    <tableColumn id="25" xr3:uid="{152B1876-09E9-4A2D-B55C-ADC87B2900FA}" name="isSHIPPED" dataDxfId="236" totalsRowDxfId="235"/>
    <tableColumn id="10" xr3:uid="{FB51258F-427B-4495-A3E9-6E78E7532742}" name="HASH COLLECTION" dataDxfId="234" totalsRowDxfId="233">
      <calculatedColumnFormula>LOWER(CONCATENATE(TabSpecificationWork_1[[#This Row],[NUM PROJECT]],"-","ver_",TabSpecificationWork_1[[#This Row],[VER COLLECTION]],"-","set_",TabSpecificationWork_1[[#This Row],[NUM FULL SET]],"-",TabSpecificationWork_1[[#This Row],[isSHIPPED]]))</calculatedColumnFormula>
    </tableColumn>
    <tableColumn id="11" xr3:uid="{8A2D1173-F161-463D-A0BF-63FC7ED0B4FB}" name="NAME PRODUCT" dataDxfId="232" totalsRowDxfId="231"/>
    <tableColumn id="12" xr3:uid="{907BD0C9-0114-4638-A983-899356A9C869}" name="DESCRIPTION PRODUCT" dataDxfId="230" totalsRowDxfId="229"/>
    <tableColumn id="13" xr3:uid="{108EA91F-680B-4273-94E8-8FBCFFA1AC04}" name="BRAND" dataDxfId="228" totalsRowDxfId="227"/>
    <tableColumn id="14" xr3:uid="{E4861E4D-A0C8-4A11-B4AA-DFB3C64D4EB2}" name="SUPPLIER" dataDxfId="226" totalsRowDxfId="225"/>
    <tableColumn id="15" xr3:uid="{73475B39-6871-4833-BB24-BF8B8CF4E4A4}" name="ARTICLE SUPPLIER" dataDxfId="224" totalsRowDxfId="223"/>
    <tableColumn id="16" xr3:uid="{EDB46A9A-3B70-4724-AC00-E030C20DCA43}" name="ARTICLE INTERNAL" dataDxfId="222" totalsRowDxfId="221"/>
    <tableColumn id="17" xr3:uid="{57F8BAC9-CE7F-42C1-8751-D77B4DA60042}" name="UNITS" dataDxfId="220" totalsRowDxfId="219"/>
    <tableColumn id="18" xr3:uid="{9DED3F02-E50D-4A33-AD0A-34AC1D718EFF}" name="QUANTITY SET" dataDxfId="218" totalsRowDxfId="217"/>
    <tableColumn id="19" xr3:uid="{1EA71402-BB69-4112-A4BE-D366F7C82A46}" name="QUANTITY SHIPPED SET" dataDxfId="216" totalsRowDxfId="215"/>
    <tableColumn id="20" xr3:uid="{C8E53872-0682-484F-B8D2-9C2713240884}" name="QUANTITY TOTAL" dataDxfId="214" totalsRowDxfId="213">
      <calculatedColumnFormula>TabSpecificationWork_1[[#This Row],[QUANTITY SET]]*TabSpecificationWork_1[[#This Row],[QUANTITY SHIPPED SET]]</calculatedColumnFormula>
    </tableColumn>
    <tableColumn id="21" xr3:uid="{6E122565-E65B-4DE9-B185-5F011F19A6B3}" name="QUANTITY SUPPLIER" dataDxfId="212" totalsRowDxfId="211"/>
    <tableColumn id="22" xr3:uid="{53F2F633-89D3-455F-8FEB-8BFB964B4EEE}" name="PRICE UNIT $PURCHASE" dataDxfId="210" totalsRowDxfId="209" dataCellStyle="Связанная ячейка"/>
    <tableColumn id="9" xr3:uid="{3BA18DCF-B663-4699-8019-4AC2D1A5E3BA}" name="VAT ADD PRICE $PURCHASE" dataDxfId="208" totalsRowDxfId="207" dataCellStyle="Связанная ячейка"/>
    <tableColumn id="23" xr3:uid="{1259C1D1-F564-4A60-AED0-29092D9824B4}" name="COST PRICE $PURCHASE" dataDxfId="206" totalsRowDxfId="205" dataCellStyle="Связанная ячейка">
      <calculatedColumnFormula>TabSpecificationWork_1[[#This Row],[QUANTITY TOTAL]]*TabSpecificationWork_1[[#This Row],[PRICE UNIT $PURCHASE]]</calculatedColumnFormula>
    </tableColumn>
    <tableColumn id="30" xr3:uid="{E22646A7-94DC-4E7B-A533-432F4A49C6CB}" name="COST PRICE VAT $PURCHASE" dataDxfId="204" totalsRowDxfId="203" dataCellStyle="Связанная ячейка">
      <calculatedColumnFormula>TabSpecificationWork_1[[#This Row],[VAT ADD PRICE $PURCHASE]]*TabSpecificationWork_1[[#This Row],[QUANTITY TOTAL]]+TabSpecificationWork_1[[#This Row],[COST PRICE $PURCHASE]]</calculatedColumnFormula>
    </tableColumn>
    <tableColumn id="24" xr3:uid="{A6A3F092-CC96-46D5-9750-8770946F9610}" name="TCP SOURCE" dataDxfId="202" totalsRowDxfId="201" dataCellStyle="Связанная ячейка"/>
    <tableColumn id="26" xr3:uid="{5CD0038A-FD64-402C-8800-8B95AEF689DE}" name="COMMENT WORK" dataDxfId="200" totalsRowDxfId="199"/>
    <tableColumn id="27" xr3:uid="{C5B1D56B-BB5C-46C8-BCB3-C103FD40F536}" name="URL PRODUCT" dataDxfId="198" totalsRowDxfId="197"/>
    <tableColumn id="28" xr3:uid="{7B50AE56-BBC4-4A38-8A4E-3353F30717A3}" name="IMAGE PRODUCT" totalsRowFunction="count" dataDxfId="196" totalsRowDxfId="195"/>
  </tableColumns>
  <tableStyleInfo name="TableStyleMedium2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39D2FA2E-0933-4796-BA9B-C86666372FE4}" name="TabSpecificationWork_2" displayName="TabSpecificationWork_2" ref="F1:W10" headerRowDxfId="294" dataDxfId="293">
  <autoFilter ref="F1:W10" xr:uid="{39D2FA2E-0933-4796-BA9B-C86666372FE4}">
    <filterColumn colId="0">
      <customFilters>
        <customFilter operator="notEqual" val="*false*"/>
      </customFilters>
    </filterColumn>
  </autoFilter>
  <tableColumns count="18">
    <tableColumn id="1" xr3:uid="{2D35AB6D-689E-4581-BFB5-254603E305B8}" name="HASH COLLECTION" totalsRowLabel="Итог" dataDxfId="292" totalsRowDxfId="291">
      <calculatedColumnFormula>E2</calculatedColumnFormula>
    </tableColumn>
    <tableColumn id="2" xr3:uid="{1FF74755-B711-4353-9FE3-236304C8C10A}" name="COEFFICIENT MARKUP" dataDxfId="290" totalsRowDxfId="289"/>
    <tableColumn id="3" xr3:uid="{C9DF27EE-C3F5-48EA-8A9F-08703557C240}" name="PRICE UNIT $SALE" dataDxfId="288" totalsRowDxfId="287" dataCellStyle="Финансовый">
      <calculatedColumnFormula>TabSpecificationWork_2[[#This Row],[COEFFICIENT MARKUP]]*TabSpecificationWork_1[[#This Row],[PRICE UNIT $PURCHASE]]</calculatedColumnFormula>
    </tableColumn>
    <tableColumn id="4" xr3:uid="{13E50560-E3A1-4918-9A72-E170AD0ED179}" name="COST DEAL $SALE" dataDxfId="286" totalsRowDxfId="285">
      <calculatedColumnFormula>TabSpecificationWork_1[[#This Row],[QUANTITY TOTAL]]*TabSpecificationWork_2[[#This Row],[PRICE UNIT $SALE]]</calculatedColumnFormula>
    </tableColumn>
    <tableColumn id="5" xr3:uid="{2ADC428A-1173-4D5A-9D2F-6AB8F3260492}" name="DISCOUNT PERCENT" dataDxfId="284" totalsRowDxfId="283"/>
    <tableColumn id="6" xr3:uid="{55B81372-0275-4435-8DD1-08DE134AE7CF}" name="DISCOUNT MONEY" dataDxfId="282" totalsRowDxfId="281" dataCellStyle="Финансовый">
      <calculatedColumnFormula>(TabSpecificationWork_2[[#This Row],[COST DEAL $SALE]]/100)*TabSpecificationWork_2[[#This Row],[DISCOUNT PERCENT]]</calculatedColumnFormula>
    </tableColumn>
    <tableColumn id="7" xr3:uid="{97734D3E-F1D4-4553-83AC-2FD721115591}" name="FORMULA SPECIFIC COST" dataDxfId="280" totalsRowDxfId="279"/>
    <tableColumn id="14" xr3:uid="{D7B68A30-8E83-45DF-8CC1-74E8F848D678}" name="VAT RATE CONTRACTOR $TOTAL" dataDxfId="278" totalsRowDxfId="277">
      <calculatedColumnFormula>_xlfn.LET(
    _xlpm.projNum, _xlfn.XLOOKUP(TabSpecificationWork_2[[#This Row],[HASH COLLECTION]], TabSpecificationWork_1[HASH COLLECTION], TabSpecificationWork_1[NUM PROJECT], ""),
    _xlpm.company, UPPER(TRIM(_xlfn.TEXTAFTER(_xlpm.projNum, "-", 2))),
    IF(_xlpm.company="ГОРИЗОНТ", 0.22, 0)
)</calculatedColumnFormula>
    </tableColumn>
    <tableColumn id="8" xr3:uid="{7F91BE1C-6777-472B-9705-6FEAA341F9E4}" name="PRICE UNIT $TOTAL" dataDxfId="276" totalsRowDxfId="275" dataCellStyle="Финансовый">
      <calculatedColumnFormula>TabSpecificationWork_2[[#This Row],[PRICE UNIT $SALE]]</calculatedColumnFormula>
    </tableColumn>
    <tableColumn id="15" xr3:uid="{02D7F0B7-1820-4501-A308-119A82255F82}" name="VAT ADD PRICE UNIT $TOTAL" dataDxfId="274" totalsRowDxfId="273" dataCellStyle="Финансовый">
      <calculatedColumnFormula>TabSpecificationWork_2[[#This Row],[PRICE UNIT $TOTAL]] * TabSpecificationWork_2[[#This Row],[VAT RATE CONTRACTOR $TOTAL]]</calculatedColumnFormula>
    </tableColumn>
    <tableColumn id="16" xr3:uid="{A366C5F5-93AB-4564-A73C-1BE62A7FB420}" name="PRICE VAT UNIT $TOTAL" dataDxfId="272" totalsRowDxfId="271" dataCellStyle="Финансовый">
      <calculatedColumnFormula>TabSpecificationWork_2[[#This Row],[PRICE UNIT $TOTAL]] + TabSpecificationWork_2[[#This Row],[VAT ADD PRICE UNIT $TOTAL]]</calculatedColumnFormula>
    </tableColumn>
    <tableColumn id="9" xr3:uid="{F2DD7380-C2AA-4B5D-9F95-BF99066D156C}" name="COST $TOTAL" totalsRowFunction="sum" dataDxfId="270" totalsRowDxfId="269">
      <calculatedColumnFormula>TabSpecificationWork_2[[#This Row],[COST DEAL $SALE]]-TabSpecificationWork_2[[#This Row],[DISCOUNT MONEY]]</calculatedColumnFormula>
    </tableColumn>
    <tableColumn id="17" xr3:uid="{DA0391AF-C0CB-4566-9660-F446B432E374}" name="COST ADD VAT $TOTAL" dataDxfId="268" totalsRowDxfId="267">
      <calculatedColumnFormula>TabSpecificationWork_2[[#This Row],[COST $TOTAL]] * TabSpecificationWork_2[[#This Row],[VAT RATE CONTRACTOR $TOTAL]]</calculatedColumnFormula>
    </tableColumn>
    <tableColumn id="18" xr3:uid="{E88F4D99-BABC-4145-AF83-6C46AEA0AEF1}" name="COST VAT $TOTAL" totalsRowFunction="sum" dataDxfId="266" totalsRowDxfId="265">
      <calculatedColumnFormula>TabSpecificationWork_2[[#This Row],[COST $TOTAL]] + TabSpecificationWork_2[[#This Row],[COST ADD VAT $TOTAL]]</calculatedColumnFormula>
    </tableColumn>
    <tableColumn id="10" xr3:uid="{6B388F0D-214D-47C1-9BDE-C5B75AE170F9}" name="DURATION SALE $TOTAL" totalsRowFunction="sum" dataDxfId="264" totalsRowDxfId="263"/>
    <tableColumn id="11" xr3:uid="{F0C19BA4-14CD-46D7-9589-E18338973F4F}" name="isSUPPLIED" dataDxfId="262" totalsRowDxfId="261"/>
    <tableColumn id="12" xr3:uid="{0A11BEAE-757A-4C41-869F-EC42034A4E09}" name="isPROCESSING" dataDxfId="260" totalsRowDxfId="259"/>
    <tableColumn id="13" xr3:uid="{BB13BB81-0814-4356-8E31-92626816A46D}" name="COMMENT CUSTOMER" totalsRowFunction="count" dataDxfId="258" totalsRowDxfId="257"/>
  </tableColumns>
  <tableStyleInfo name="TableStyleMedium2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4871F67-2D12-4975-AE30-A22C979C2BA1}" name="TabSpecificationWork" displayName="TabSpecificationWork" ref="A1:AU10" tableType="queryTable" headerRowDxfId="194">
  <autoFilter ref="A1:AU10" xr:uid="{54871F67-2D12-4975-AE30-A22C979C2BA1}"/>
  <tableColumns count="47">
    <tableColumn id="1" xr3:uid="{DF5F1AE5-7188-4873-9B43-AA856EED46B2}" uniqueName="1" name="IDnum" queryTableFieldId="1" dataDxfId="193" totalsRowDxfId="192"/>
    <tableColumn id="2" xr3:uid="{CE1B78A7-F713-475B-A081-267866FA36FF}" uniqueName="2" name="IDsource" queryTableFieldId="2" dataDxfId="191" totalsRowDxfId="190"/>
    <tableColumn id="3" xr3:uid="{99C3FFBE-B09A-4E17-8764-3208510986F2}" uniqueName="3" name="NUM PROJECT" queryTableFieldId="3" dataDxfId="189" totalsRowDxfId="188"/>
    <tableColumn id="4" xr3:uid="{764AE984-47C0-42D7-B7A4-DAF96FA77B7D}" uniqueName="4" name="NUM ORDER" queryTableFieldId="4" dataDxfId="187" totalsRowDxfId="186"/>
    <tableColumn id="5" xr3:uid="{0F394EC3-840C-4AD4-BD3C-F9A1F0F08C22}" uniqueName="5" name="VER COLLECTION" queryTableFieldId="5" dataDxfId="185" totalsRowDxfId="184"/>
    <tableColumn id="6" xr3:uid="{0260A494-B10A-418B-918B-98FE265FA8EC}" uniqueName="6" name="DESCRIPTION SET" queryTableFieldId="6" dataDxfId="183" totalsRowDxfId="182"/>
    <tableColumn id="7" xr3:uid="{8F6F80F9-7D76-4812-A190-E220BE291249}" uniqueName="7" name="IDset" queryTableFieldId="7" dataDxfId="181" totalsRowDxfId="180"/>
    <tableColumn id="8" xr3:uid="{3AF82789-BEAC-4A80-AD19-A668F8674054}" uniqueName="8" name="NUM SEQUENCE SET" queryTableFieldId="8" dataDxfId="179" totalsRowDxfId="178"/>
    <tableColumn id="9" xr3:uid="{75941281-287C-4E6B-9F5E-801BE4E0BBFD}" uniqueName="9" name="NUM FULL SET" queryTableFieldId="9" dataDxfId="177" totalsRowDxfId="176"/>
    <tableColumn id="10" xr3:uid="{CBDC51D1-5CF1-4AF7-A2AD-5C7136B968ED}" uniqueName="10" name="isSHIPPED" queryTableFieldId="10" dataDxfId="175" totalsRowDxfId="174"/>
    <tableColumn id="11" xr3:uid="{3C27B005-CE14-420D-BC97-288ADB6D0368}" uniqueName="11" name="HASH COLLECTION" queryTableFieldId="11" dataDxfId="173" totalsRowDxfId="172"/>
    <tableColumn id="12" xr3:uid="{9110CB2C-91C3-4154-8CA5-2DADA4B7D411}" uniqueName="12" name="NAME PRODUCT" queryTableFieldId="12" dataDxfId="171" totalsRowDxfId="170"/>
    <tableColumn id="13" xr3:uid="{90531F86-3CC0-4A74-A24F-7D872D53F6E9}" uniqueName="13" name="DESCRIPTION PRODUCT" queryTableFieldId="13" dataDxfId="169" totalsRowDxfId="168"/>
    <tableColumn id="14" xr3:uid="{2154DB83-AB5F-4F8A-9516-9112EFC20278}" uniqueName="14" name="BRAND" queryTableFieldId="14" dataDxfId="167" totalsRowDxfId="166"/>
    <tableColumn id="15" xr3:uid="{E9E41D37-3666-4C88-A927-870DF8549706}" uniqueName="15" name="SUPPLIER" queryTableFieldId="15" dataDxfId="165" totalsRowDxfId="164"/>
    <tableColumn id="16" xr3:uid="{1DE3409F-879C-492E-B4F8-29B70A6FC7B8}" uniqueName="16" name="ARTICLE SUPPLIER" queryTableFieldId="16" dataDxfId="163" totalsRowDxfId="162"/>
    <tableColumn id="17" xr3:uid="{721C9660-5C97-4D0E-89E4-17B401FD0F84}" uniqueName="17" name="ARTICLE INTERNAL" queryTableFieldId="17" dataDxfId="161" totalsRowDxfId="160"/>
    <tableColumn id="18" xr3:uid="{2533A0D1-7B55-47F4-AA96-A6C3F4EBFAEA}" uniqueName="18" name="UNITS" queryTableFieldId="18" dataDxfId="159" totalsRowDxfId="158"/>
    <tableColumn id="19" xr3:uid="{00D1AAD1-964D-48C0-BB59-E56CB75BCB51}" uniqueName="19" name="QUANTITY SET" queryTableFieldId="19" dataDxfId="157" totalsRowDxfId="156"/>
    <tableColumn id="20" xr3:uid="{D426565C-C10A-437E-B01A-91BC16F4B675}" uniqueName="20" name="QUANTITY SHIPPED SET" queryTableFieldId="20" dataDxfId="155" totalsRowDxfId="154"/>
    <tableColumn id="21" xr3:uid="{AFC5E262-A770-4955-8BCC-DD6861BFC129}" uniqueName="21" name="QUANTITY TOTAL" queryTableFieldId="21" dataDxfId="153" totalsRowDxfId="152"/>
    <tableColumn id="22" xr3:uid="{1D95DF30-33C2-49FF-80A1-EBB02994823A}" uniqueName="22" name="QUANTITY SUPPLIER" queryTableFieldId="22" dataDxfId="151" totalsRowDxfId="150"/>
    <tableColumn id="23" xr3:uid="{511E0C5F-5CFD-4EDF-A437-A9D058B026DD}" uniqueName="23" name="PRICE UNIT $PURCHASE" queryTableFieldId="23" dataDxfId="149" totalsRowDxfId="148" dataCellStyle="Финансовый"/>
    <tableColumn id="27" xr3:uid="{7637B072-5802-4C86-946C-06CA2A7B65C2}" uniqueName="27" name="VAT ADD PRICE $PURCHASE" queryTableFieldId="41" dataDxfId="147" dataCellStyle="Финансовый"/>
    <tableColumn id="24" xr3:uid="{C1FDDDCD-E283-41A2-AAC0-C014C473A61C}" uniqueName="24" name="COST PRICE $PURCHASE" queryTableFieldId="24" dataDxfId="146" totalsRowDxfId="145" dataCellStyle="Финансовый"/>
    <tableColumn id="41" xr3:uid="{0E418949-4A09-468E-B473-5CC535F54A67}" uniqueName="41" name="COST PRICE VAT $PURCHASE" queryTableFieldId="42" dataDxfId="144" dataCellStyle="Финансовый"/>
    <tableColumn id="25" xr3:uid="{818A6D8C-EBA1-4A16-BF0B-59653F72BCE4}" uniqueName="25" name="TCP SOURCE" queryTableFieldId="25" dataDxfId="143" totalsRowDxfId="142"/>
    <tableColumn id="26" xr3:uid="{C9B8616F-09F2-490F-AF62-4D6E6D1E1A65}" uniqueName="26" name="COMMENT WORK" queryTableFieldId="26" dataDxfId="141" totalsRowDxfId="140"/>
    <tableColumn id="42" xr3:uid="{D6865B7E-D156-4FDB-A885-C5E9E30C6387}" uniqueName="42" name="URL PRODUCT" queryTableFieldId="43"/>
    <tableColumn id="28" xr3:uid="{2AA7B214-CAF9-4CE4-942B-EF1E3FF98722}" uniqueName="28" name="IMAGE PRODUCT" queryTableFieldId="28" dataDxfId="139" totalsRowDxfId="138"/>
    <tableColumn id="29" xr3:uid="{9FC09D58-909D-48ED-8560-D0FE60D67535}" uniqueName="29" name="COEFFICIENT MARKUP" queryTableFieldId="29" dataDxfId="137" totalsRowDxfId="136"/>
    <tableColumn id="30" xr3:uid="{BD8DAA5E-F542-4FF8-9712-26B71CD200A6}" uniqueName="30" name="PRICE UNIT $SALE" queryTableFieldId="30" dataDxfId="135" totalsRowDxfId="134" dataCellStyle="Финансовый"/>
    <tableColumn id="31" xr3:uid="{E83CD106-0B97-4753-8BF7-35E681B2B86F}" uniqueName="31" name="COST DEAL $SALE" queryTableFieldId="31" dataDxfId="133" totalsRowDxfId="132" dataCellStyle="Финансовый"/>
    <tableColumn id="32" xr3:uid="{BAEAA1AB-9871-4F42-BCDC-B26BBE61BEEB}" uniqueName="32" name="DISCOUNT PERCENT" queryTableFieldId="32" dataDxfId="131" totalsRowDxfId="130"/>
    <tableColumn id="33" xr3:uid="{E2CFB9D9-1C59-476E-B9FB-62B5E9C01D55}" uniqueName="33" name="DISCOUNT MONEY" queryTableFieldId="33" dataDxfId="129" totalsRowDxfId="128"/>
    <tableColumn id="34" xr3:uid="{8C0C03A1-05FD-4BD8-A2B1-8EF84BD1008E}" uniqueName="34" name="FORMULA SPECIFIC COST" queryTableFieldId="34" dataDxfId="127" totalsRowDxfId="126"/>
    <tableColumn id="43" xr3:uid="{42BBEE87-52BE-4958-A720-5FD49077BC8B}" uniqueName="43" name="VAT RATE CONTRACTOR $TOTAL" queryTableFieldId="44"/>
    <tableColumn id="35" xr3:uid="{12C5116F-4492-4F5C-9A2E-1378B1915F88}" uniqueName="35" name="PRICE UNIT $TOTAL" queryTableFieldId="35" dataDxfId="125" totalsRowDxfId="124" dataCellStyle="Финансовый"/>
    <tableColumn id="44" xr3:uid="{1F9BBD81-C4E8-4FBE-BD26-9FFDCF1B4575}" uniqueName="44" name="VAT ADD PRICE UNIT $TOTAL" queryTableFieldId="45" dataDxfId="123" dataCellStyle="Финансовый"/>
    <tableColumn id="45" xr3:uid="{928F8E97-0336-4465-8430-A6210A6482CB}" uniqueName="45" name="PRICE VAT UNIT $TOTAL" queryTableFieldId="46"/>
    <tableColumn id="36" xr3:uid="{10F79B55-D906-4B97-AA3E-271E7B1C8A4B}" uniqueName="36" name="COST $TOTAL" totalsRowFunction="sum" queryTableFieldId="36" dataDxfId="122" totalsRowDxfId="121" dataCellStyle="Финансовый"/>
    <tableColumn id="46" xr3:uid="{0734288C-52C2-496C-AC8C-C62FE95F9C34}" uniqueName="46" name="COST ADD VAT $TOTAL" queryTableFieldId="47" dataDxfId="120" dataCellStyle="Финансовый"/>
    <tableColumn id="47" xr3:uid="{13A7F21E-0BA5-4F43-B415-ED09059D2A37}" uniqueName="47" name="COST VAT $TOTAL" queryTableFieldId="48"/>
    <tableColumn id="37" xr3:uid="{C5E63DF1-F8E4-4EF0-AC37-9F4CC6A16ABB}" uniqueName="37" name="DURATION SALE $TOTAL" queryTableFieldId="37" dataDxfId="119" totalsRowDxfId="118"/>
    <tableColumn id="38" xr3:uid="{7B53041D-6260-419D-BAD3-3EBE19FF1568}" uniqueName="38" name="isSUPPLIED" queryTableFieldId="38" dataDxfId="117" totalsRowDxfId="116"/>
    <tableColumn id="39" xr3:uid="{D4A6342C-5871-4CA9-A661-98624B345000}" uniqueName="39" name="isPROCESSING" queryTableFieldId="39" dataDxfId="115" totalsRowDxfId="114"/>
    <tableColumn id="40" xr3:uid="{A772586E-91D6-4DDE-930D-ACBD2A4B99AF}" uniqueName="40" name="COMMENT CUSTOMER" totalsRowFunction="count" queryTableFieldId="40" dataDxfId="113" totalsRowDxfId="112"/>
  </tableColumns>
  <tableStyleInfo name="TableStyleMedium2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3A433A3F-ADAB-41AD-A83C-B8719B434348}" name="TabHandbookProject" displayName="TabHandbookProject" ref="A1:E172" tableType="queryTable" totalsRowShown="0" headerRowDxfId="77">
  <autoFilter ref="A1:E172" xr:uid="{3A433A3F-ADAB-41AD-A83C-B8719B434348}"/>
  <tableColumns count="5">
    <tableColumn id="1" xr3:uid="{C487BB0B-A74A-4616-AA9E-407431A85BFC}" uniqueName="1" name="IDnum" queryTableFieldId="1" dataDxfId="76"/>
    <tableColumn id="3" xr3:uid="{F351F0EA-2D55-4541-847A-8F6662601956}" uniqueName="3" name="HASH COLLECTION" queryTableFieldId="3"/>
    <tableColumn id="2" xr3:uid="{168C039B-A25B-49BE-91E6-DAEAAADDE735}" uniqueName="2" name="IDprojectfull" queryTableFieldId="2" dataDxfId="75"/>
    <tableColumn id="4" xr3:uid="{9BD3B050-3189-4D01-BBD7-EEF0BA22FBD0}" uniqueName="4" name="GENERAL CONTRACTOR" queryTableFieldId="4"/>
    <tableColumn id="5" xr3:uid="{B8060009-E74C-422A-AB17-BD990B57E765}" uniqueName="5" name="PROJECT CHIEF ENGINEER" queryTableFieldId="5"/>
  </tableColumns>
  <tableStyleInfo name="TableStyleMedium2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E887490-69AA-4135-92BA-FDCE6065A4CB}" name="TabVendorAndBrand" displayName="TabVendorAndBrand" ref="A1:B88" tableType="queryTable" totalsRowShown="0" headerRowDxfId="74">
  <autoFilter ref="A1:B88" xr:uid="{4E887490-69AA-4135-92BA-FDCE6065A4CB}"/>
  <tableColumns count="2">
    <tableColumn id="1" xr3:uid="{0DBAC820-4087-47C0-959D-632D92880DC9}" uniqueName="1" name="IDvendor" queryTableFieldId="1" dataDxfId="73"/>
    <tableColumn id="2" xr3:uid="{ACA97C16-8ED5-48D0-9EFD-86BF94F0564C}" uniqueName="2" name="BRAND" queryTableFieldId="2" dataDxfId="72"/>
  </tableColumns>
  <tableStyleInfo name="TableStyleMedium2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68D7691-FE5D-4204-AC5B-CA00F9A9E0CA}" name="TabHandbookSupplier" displayName="TabHandbookSupplier" ref="A1:B48" tableType="queryTable" totalsRowShown="0" headerRowDxfId="71">
  <autoFilter ref="A1:B48" xr:uid="{968D7691-FE5D-4204-AC5B-CA00F9A9E0CA}"/>
  <tableColumns count="2">
    <tableColumn id="1" xr3:uid="{2D9F11F8-FFAE-4157-A076-BC36BB0461A3}" uniqueName="1" name="IDsupplier" queryTableFieldId="3" dataDxfId="70"/>
    <tableColumn id="2" xr3:uid="{EBE9B7B3-3339-42ED-8C41-106A413D6B38}" uniqueName="2" name="COMPANY_LABEL" queryTableFieldId="2" dataDxfId="69"/>
  </tableColumns>
  <tableStyleInfo name="TableStyleMedium2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50C369D-4EF9-4630-BBCA-A757CC89C26E}" name="TabHandbookUnit" displayName="TabHandbookUnit" ref="A1:B5" tableType="queryTable" totalsRowShown="0" headerRowDxfId="68">
  <autoFilter ref="A1:B5" xr:uid="{650C369D-4EF9-4630-BBCA-A757CC89C26E}"/>
  <tableColumns count="2">
    <tableColumn id="1" xr3:uid="{10BDB9F9-CCA3-439E-BF2C-EC6B9B458BCC}" uniqueName="1" name="IDnum" queryTableFieldId="1"/>
    <tableColumn id="2" xr3:uid="{0D5BE12D-F314-42B9-A7B7-69139DB2E84E}" uniqueName="2" name="UNITS" queryTableFieldId="2" dataDxfId="67"/>
  </tableColumns>
  <tableStyleInfo name="TableStyleMedium2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759773E5-6BB4-4A7F-A27E-2BF5D48F2E04}" name="TabTableSchema" displayName="TabTableSchema" ref="A1:Q49" headerRowDxfId="66" dataDxfId="65" tableBorderDxfId="64">
  <autoFilter ref="A1:Q49" xr:uid="{759773E5-6BB4-4A7F-A27E-2BF5D48F2E04}">
    <filterColumn colId="2">
      <filters>
        <filter val="DISCOUNT MONEY"/>
        <filter val="DISCOUNT PERCENT"/>
      </filters>
    </filterColumn>
    <filterColumn colId="9">
      <filters>
        <filter val="true"/>
      </filters>
    </filterColumn>
  </autoFilter>
  <tableColumns count="17">
    <tableColumn id="1" xr3:uid="{E6BB4E5D-0C94-42D4-8C3E-4A911A823492}" name="TABLE NAME" totalsRowLabel="Итог" dataDxfId="63" totalsRowDxfId="62"/>
    <tableColumn id="9" xr3:uid="{8E76A267-9A59-489D-8043-2804945CE301}" name="NUM COLUMN" totalsRowFunction="count" dataDxfId="61" totalsRowDxfId="60"/>
    <tableColumn id="2" xr3:uid="{BEB7F216-285D-4701-BA72-477EC26D3B62}" name="СOLUMNS NAME" dataDxfId="59" totalsRowDxfId="58"/>
    <tableColumn id="4" xr3:uid="{A7B1D50C-5D59-4B32-A7C3-9AA74B7404D4}" name="COLUMN NAME RUS" dataDxfId="57" totalsRowDxfId="56"/>
    <tableColumn id="6" xr3:uid="{1416325B-2E3B-4C34-BB33-AAB8A31EF82D}" name="TYPE DATASET" dataDxfId="55" totalsRowDxfId="54"/>
    <tableColumn id="5" xr3:uid="{CA8100E0-9D72-4767-B0B8-4AD4DE71B1E3}" name="RANGE VALUES" dataDxfId="53" totalsRowDxfId="52"/>
    <tableColumn id="13" xr3:uid="{3A92C78A-FF7E-4E7E-8419-C0B9B7A58E47}" name="UNIQUE FLAG" dataDxfId="51" totalsRowDxfId="50"/>
    <tableColumn id="8" xr3:uid="{2396727F-9D04-4743-BB44-C8C0E33C757B}" name="NULL VALUE" dataDxfId="49" totalsRowDxfId="48"/>
    <tableColumn id="12" xr3:uid="{C4725C6D-3039-490B-BB41-A5171ECFACD8}" name="isAUTOMATIC" dataDxfId="47" totalsRowDxfId="46"/>
    <tableColumn id="7" xr3:uid="{40580CDE-6E19-4C7A-9755-F526449CFCB9}" name="MODIFY FLAG" dataDxfId="45" totalsRowDxfId="44"/>
    <tableColumn id="10" xr3:uid="{CB15A236-A81C-4BD2-9F8C-B1E9D304D57D}" name="HANDBOOK SOURCE" dataDxfId="43" totalsRowDxfId="42"/>
    <tableColumn id="15" xr3:uid="{FEB2FEB8-B9A8-4D97-89C7-C11A7ECC74BF}" name="DROPDOWN LIST" dataDxfId="41" totalsRowDxfId="40"/>
    <tableColumn id="14" xr3:uid="{39517DFD-8E84-4512-AD3B-8EEF3F2A14BD}" name="EXCEL TYPE" dataDxfId="39" totalsRowDxfId="38"/>
    <tableColumn id="16" xr3:uid="{4AF43F77-9EB9-4FE8-A6CD-1C506E0C165A}" name="VERTICAL ALIGNMENT" totalsRowFunction="count" dataDxfId="37" totalsRowDxfId="36"/>
    <tableColumn id="17" xr3:uid="{F3337072-6BBA-4D07-99C5-D8BE0F50993F}" name="HORIZONTAL ALIGNMENT" dataDxfId="35" totalsRowDxfId="34"/>
    <tableColumn id="18" xr3:uid="{D292290F-9084-4A4E-B39B-7270E72B4D63}" name="TRANSFER TEXT" dataDxfId="33" totalsRowDxfId="32"/>
    <tableColumn id="3" xr3:uid="{99264B45-CF4D-4029-A10F-DE7DEC72AEAA}" name="COMMENT" totalsRowFunction="count" dataDxfId="31" totalsRowDxfId="30"/>
  </tableColumns>
  <tableStyleInfo name="TableStyleMedium2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A7DFF-0CC5-4C4C-9A2B-B1F378111DBF}" name="TabConfigJSON" displayName="TabConfigJSON" ref="A1:D3" totalsRowShown="0" headerRowDxfId="29">
  <autoFilter ref="A1:D3" xr:uid="{F15A7DFF-0CC5-4C4C-9A2B-B1F378111DBF}"/>
  <tableColumns count="4">
    <tableColumn id="1" xr3:uid="{EADDD526-A1BB-49E7-8C12-FF9F560ED170}" name="IDnum" dataDxfId="28"/>
    <tableColumn id="4" xr3:uid="{98DCC295-85E8-47DA-AFBD-C60F8D2289C3}" name="IDconfig" dataDxfId="27"/>
    <tableColumn id="2" xr3:uid="{DA12A670-2981-4AD6-9AD6-55CE1D69B953}" name="CONFIG_JSON" dataDxfId="26"/>
    <tableColumn id="3" xr3:uid="{A974DE38-498A-4F17-8A6B-82651D251480}" name="COMMENT" dataDxfId="25"/>
  </tableColumns>
  <tableStyleInfo name="TableStyleMedium2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9D43E309-0E8D-4534-8845-B4A45424A8C6}" name="Вызванная_функцияProcessingTable" displayName="Вызванная_функцияProcessingTable" ref="A1:H8" tableType="queryTable" totalsRowShown="0" headerRowDxfId="24" dataDxfId="23">
  <autoFilter ref="A1:H8" xr:uid="{9D43E309-0E8D-4534-8845-B4A45424A8C6}"/>
  <tableColumns count="8">
    <tableColumn id="1" xr3:uid="{095AA111-FA63-4964-B584-2C7AB6E17D7A}" uniqueName="1" name="№" queryTableFieldId="1" dataDxfId="22"/>
    <tableColumn id="2" xr3:uid="{06F08F19-7BAC-4BE3-8B82-8421D1DCDAE4}" uniqueName="2" name="НАИМЕНОВАНИЕ" queryTableFieldId="2" dataDxfId="21"/>
    <tableColumn id="3" xr3:uid="{3F0BCDB7-61A1-42A5-8138-012623067E45}" uniqueName="3" name="ЕД ИЗМ." queryTableFieldId="3" dataDxfId="20"/>
    <tableColumn id="4" xr3:uid="{6F49E9F3-06A2-43BE-9CBB-B828B84C5DED}" uniqueName="4" name="КОЛ-ВО" queryTableFieldId="4" dataDxfId="19"/>
    <tableColumn id="5" xr3:uid="{BE55F7E9-C360-4782-80F9-4767C181C700}" uniqueName="5" name="ЦЕНА БЕЗ НДС, руб" queryTableFieldId="5" dataDxfId="18" dataCellStyle="Финансовый"/>
    <tableColumn id="6" xr3:uid="{08593672-8724-4A0B-9408-4FCD3C8C0F64}" uniqueName="6" name="СТОИМОСТЬ БЕЗ НДС, руб" queryTableFieldId="6" dataDxfId="17" dataCellStyle="Финансовый"/>
    <tableColumn id="7" xr3:uid="{9433931A-B46B-48B4-A72C-EA39A2738F6C}" uniqueName="7" name="НДС, руб" queryTableFieldId="7" dataDxfId="16" dataCellStyle="Финансовый"/>
    <tableColumn id="8" xr3:uid="{CC19EBA2-FD73-4E52-9D5B-A484FA8B8D4B}" uniqueName="8" name="ДЛИТЕЛЬНОСТЬ, КАЛ. ДНЕЙ" queryTableFieldId="8" dataDxfId="15"/>
  </tableColumns>
  <tableStyleInfo name="TableStyleMedium21" showFirstColumn="0" showLastColumn="0" showRowStripes="1" showColumnStripes="0"/>
</table>
</file>

<file path=xl/theme/theme1.xml><?xml version="1.0" encoding="utf-8"?>
<a:theme xmlns:a="http://schemas.openxmlformats.org/drawingml/2006/main" name="Тема Office 2013–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 dT="2025-09-10T06:18:57.01" personId="{546BDB3A-668A-4D8C-87A8-0DE14755FBE5}" id="{F6344F8B-2B3A-40F5-94E4-16B7A498AB48}">
    <text>Уникальный порядковый номер позиции</text>
  </threadedComment>
  <threadedComment ref="B1" dT="2025-09-10T06:19:15.78" personId="{546BDB3A-668A-4D8C-87A8-0DE14755FBE5}" id="{E3D9B2AC-BF73-467B-B4DB-9A01321331B9}">
    <text>Порядковый номер позиции из спецификации заказчика</text>
  </threadedComment>
  <threadedComment ref="C1" dT="2025-09-10T06:19:43.07" personId="{546BDB3A-668A-4D8C-87A8-0DE14755FBE5}" id="{8F981E2E-A069-4F7D-B569-584150EAACC6}">
    <text>Полный номер проекта из таблицы реестр проектов</text>
  </threadedComment>
  <threadedComment ref="D1" dT="2025-09-10T06:19:57.74" personId="{546BDB3A-668A-4D8C-87A8-0DE14755FBE5}" id="{7960CCAA-C85E-4532-A46A-96785E4D240A}">
    <text>ВЫЧИСЛЯЕМЫЙ СТОЛБЕЦ, РУКАМИ НЕ ЗАПОЛНЯТЬ ! Номер заказа в рамках проекта из списка заказов</text>
  </threadedComment>
  <threadedComment ref="E1" dT="2025-09-10T06:20:21.43" personId="{546BDB3A-668A-4D8C-87A8-0DE14755FBE5}" id="{FE809EA2-7E50-4AEF-ADD4-15BD881CFCA5}">
    <text>Версия коллекции - число. Под КОЛЛЕКЦИЕЙ понимается объект данных который описывает стока, она же одна запись датасета</text>
  </threadedComment>
  <threadedComment ref="F1" dT="2025-09-10T06:22:14.10" personId="{546BDB3A-668A-4D8C-87A8-0DE14755FBE5}" id="{FE5A4F88-C626-4813-B9F6-AC623AC19292}">
    <text>Название комплекта</text>
  </threadedComment>
  <threadedComment ref="G1" dT="2025-09-10T06:20:38.79" personId="{546BDB3A-668A-4D8C-87A8-0DE14755FBE5}" id="{5D52B54C-0708-4CA1-A0BC-47334CF09CE6}">
    <text xml:space="preserve">Свободный (число или текст - латиницей) идентификатор комплекта
</text>
  </threadedComment>
  <threadedComment ref="H1" dT="2025-09-10T06:21:08.34" personId="{546BDB3A-668A-4D8C-87A8-0DE14755FBE5}" id="{70842CBF-5120-4049-9941-DC7047DC8A17}">
    <text>Порядковый номер позиции в комплекте</text>
  </threadedComment>
  <threadedComment ref="I1" dT="2025-09-10T06:21:57.11" personId="{546BDB3A-668A-4D8C-87A8-0DE14755FBE5}" id="{F4A88E00-01BF-4A9D-BB00-CA966B2636D4}">
    <text>Автоматически заполняемый столбец.
Полный порядковый номер позиции, состоящий из номер комплекта и номера порядкового в комплекте</text>
  </threadedComment>
  <threadedComment ref="J1" dT="2025-10-15T06:44:08.57" personId="{546BDB3A-668A-4D8C-87A8-0DE14755FBE5}" id="{890F2321-773B-4860-984E-8BC625841E0A}">
    <text>Признак поставки позиции в данном заказе</text>
  </threadedComment>
  <threadedComment ref="K1" dT="2025-09-10T06:22:32.64" personId="{546BDB3A-668A-4D8C-87A8-0DE14755FBE5}" id="{2C22FD44-0F6F-4613-A453-FA7B515CF251}">
    <text>Автоматически заполняемый столбец.
Уникальное хэш значение, характеризуемое текущую коллекцию</text>
  </threadedComment>
  <threadedComment ref="L1" dT="2025-09-10T06:22:51.38" personId="{546BDB3A-668A-4D8C-87A8-0DE14755FBE5}" id="{BE27801C-0731-473F-8682-66560F0BB1E4}">
    <text>Наименование позиции</text>
  </threadedComment>
  <threadedComment ref="M1" dT="2025-09-10T06:23:14.32" personId="{546BDB3A-668A-4D8C-87A8-0DE14755FBE5}" id="{BF2CA57A-7DA7-402D-98F7-C3C603B6B406}">
    <text>Технические характеристики позиции</text>
  </threadedComment>
  <threadedComment ref="N1" dT="2025-09-10T06:24:28.46" personId="{546BDB3A-668A-4D8C-87A8-0DE14755FBE5}" id="{04599C53-D9FA-49F2-923B-EDB75AD601A2}">
    <text>Название бренда производителя</text>
  </threadedComment>
  <threadedComment ref="O1" dT="2025-09-10T06:24:46.85" personId="{546BDB3A-668A-4D8C-87A8-0DE14755FBE5}" id="{6F577B15-DEC3-4280-BB97-E6CA976D117B}">
    <text>Название поставщика</text>
  </threadedComment>
  <threadedComment ref="P1" dT="2025-09-10T06:26:07.88" personId="{546BDB3A-668A-4D8C-87A8-0DE14755FBE5}" id="{558DC68A-31E6-40BF-8F27-3467FE25D98D}">
    <text>Артикул поставщика</text>
  </threadedComment>
  <threadedComment ref="Q1" dT="2025-09-10T06:26:45.10" personId="{546BDB3A-668A-4D8C-87A8-0DE14755FBE5}" id="{397FFE0C-F713-4E2F-B787-8428280F9203}">
    <text>Артикул МАС/Горизонт</text>
  </threadedComment>
  <threadedComment ref="R1" dT="2025-09-10T06:28:10.67" personId="{546BDB3A-668A-4D8C-87A8-0DE14755FBE5}" id="{635CA893-B3CA-47BA-8F79-B4074D2943AC}">
    <text>Единицы измерения из справочника</text>
  </threadedComment>
  <threadedComment ref="S1" dT="2025-09-10T06:28:26.65" personId="{546BDB3A-668A-4D8C-87A8-0DE14755FBE5}" id="{8620B4C4-3914-40DF-A218-4F9092ACBCCC}">
    <text>Количество единиц данной позиции в комплекте</text>
  </threadedComment>
  <threadedComment ref="T1" dT="2025-09-10T06:28:45.20" personId="{546BDB3A-668A-4D8C-87A8-0DE14755FBE5}" id="{0B7C2C1D-3BA7-464A-8F40-BB11C8377876}">
    <text>Количество комплектов в поставке</text>
  </threadedComment>
  <threadedComment ref="U1" dT="2025-09-10T06:28:59.02" personId="{546BDB3A-668A-4D8C-87A8-0DE14755FBE5}" id="{A6B4B6DF-DD2A-463F-A7C3-7F87B17D3385}">
    <text>Автоматически заполняемый столбец.
Итоговое количество по данной позиции в поставке</text>
  </threadedComment>
  <threadedComment ref="V1" dT="2025-09-10T06:29:14.46" personId="{546BDB3A-668A-4D8C-87A8-0DE14755FBE5}" id="{2815824D-89DB-4994-9B34-7D12489A7D8C}">
    <text>Количество в наличии у поставщика</text>
  </threadedComment>
  <threadedComment ref="W1" dT="2025-09-10T06:29:28.82" personId="{546BDB3A-668A-4D8C-87A8-0DE14755FBE5}" id="{BC32CEEA-6CCC-42A0-9D55-CD12DF19372E}">
    <text>Цена за единицу - закупка</text>
  </threadedComment>
  <threadedComment ref="X1" dT="2026-09-08T09:40:45.61" personId="{546BDB3A-668A-4D8C-87A8-0DE14755FBE5}" id="{DD218251-CF17-4800-B705-3E507BD24335}">
    <text>Входящий НДС за ед. Закупки. При заполнении закупочной ЦЕНЫ, специалист должен разделить предоставленную поставщиком/ подрядчиком «полную» цену на «чистую» и НДС в составе цены. И по отдельности ввести в соответствующие столбцы</text>
  </threadedComment>
  <threadedComment ref="Y1" dT="2025-09-10T06:29:42.04" personId="{546BDB3A-668A-4D8C-87A8-0DE14755FBE5}" id="{1A2ACEFF-E713-463A-9D5B-54184A4CD29D}">
    <text xml:space="preserve">Себестоимость без НДС - закупка
Автоматически заполняемый столбец
</text>
  </threadedComment>
  <threadedComment ref="Z1" dT="2026-09-16T14:30:52.55" personId="{546BDB3A-668A-4D8C-87A8-0DE14755FBE5}" id="{A2183C8D-B3AF-4976-97A5-50EF84A0AF59}">
    <text>Себестоимость с НДС - закупка
Автоматически заполняемый столбец</text>
  </threadedComment>
  <threadedComment ref="AA1" dT="2025-09-10T06:34:12.78" personId="{546BDB3A-668A-4D8C-87A8-0DE14755FBE5}" id="{6339678F-4C5D-4328-BE94-531FC243752F}">
    <text>Идентификатор спецификации поставщика/дистрибьютера, на основе которой сформирована цена позиции. Из справочника ТКП поставщиков</text>
  </threadedComment>
  <threadedComment ref="AB1" dT="2025-09-10T06:30:32.88" personId="{546BDB3A-668A-4D8C-87A8-0DE14755FBE5}" id="{9A7C07C3-6A21-4EE8-BEF0-B48F9D85045A}">
    <text>Комментарии внутренний - ТОЛЬКО ДЛЯ ВНУТРЕННЕГО СЛУЖЕБНОГО ПОЛЬЗОВАНИЯ. Полезная, дополнительная информация по позиции в свободной форме</text>
  </threadedComment>
  <threadedComment ref="AC1" dT="2026-09-08T18:25:15.92" personId="{546BDB3A-668A-4D8C-87A8-0DE14755FBE5}" id="{0FD87E57-4A0E-4B18-B9A5-14EFBAEA0360}">
    <text>Прямая ссылка на позицию на сайте производителя/поставщика</text>
  </threadedComment>
  <threadedComment ref="AD1" dT="2025-09-10T06:42:06.36" personId="{546BDB3A-668A-4D8C-87A8-0DE14755FBE5}" id="{FC3D7DDB-A80F-4FFB-9267-3E86088C3010}">
    <text>Прямая ссылка на позицию на сайте производителя/поставщика</text>
  </threadedComment>
</ThreadedComments>
</file>

<file path=xl/threadedComments/threadedComment2.xml><?xml version="1.0" encoding="utf-8"?>
<ThreadedComments xmlns="http://schemas.microsoft.com/office/spreadsheetml/2018/threadedcomments" xmlns:x="http://schemas.openxmlformats.org/spreadsheetml/2006/main">
  <threadedComment ref="F1" dT="2025-09-10T06:42:58.12" personId="{546BDB3A-668A-4D8C-87A8-0DE14755FBE5}" id="{309647A7-39FA-4D1C-9D34-F6589AA872B5}">
    <text>Автоматически заполняемый столбец.
Уникальное хэш значение, характеризуемое текущую коллекцию</text>
  </threadedComment>
  <threadedComment ref="G1" dT="2025-09-10T06:44:14.93" personId="{546BDB3A-668A-4D8C-87A8-0DE14755FBE5}" id="{CF0B5015-4158-4820-9F26-C26499DBA742}">
    <text>Коэффициент наценки</text>
  </threadedComment>
  <threadedComment ref="H1" dT="2025-09-10T06:45:02.12" personId="{546BDB3A-668A-4D8C-87A8-0DE14755FBE5}" id="{21F0EC38-F450-4B3D-9F20-24E0A5086D76}">
    <text>Цена за единицу - реализация
Автоматически заполняемый столбец</text>
  </threadedComment>
  <threadedComment ref="I1" dT="2025-09-10T06:48:58.47" personId="{546BDB3A-668A-4D8C-87A8-0DE14755FBE5}" id="{80AA62D7-622C-4FD5-BD05-73196064F988}">
    <text>Стоимость - реализация
Автоматически заполняемый столбец.</text>
  </threadedComment>
  <threadedComment ref="J1" dT="2025-09-10T06:46:39.88" personId="{546BDB3A-668A-4D8C-87A8-0DE14755FBE5}" id="{FD29CBDA-5DC6-4B24-8102-5F8F7BB14035}">
    <text>Скидка в процентах</text>
  </threadedComment>
  <threadedComment ref="K1" dT="2025-09-10T06:48:05.37" personId="{546BDB3A-668A-4D8C-87A8-0DE14755FBE5}" id="{63A27906-F095-41CD-A95D-65E7066FF0CA}">
    <text>Скидка в процентах
Автоматически заполняемый столбец.</text>
  </threadedComment>
  <threadedComment ref="L1" dT="2025-09-10T06:50:36.58" personId="{546BDB3A-668A-4D8C-87A8-0DE14755FBE5}" id="{1C6B5050-6CB5-4334-B0BF-D352BE35FCDD}">
    <text>Зарезервирована для будущих изменений в методиках расчета цены/стоимости</text>
  </threadedComment>
  <threadedComment ref="M1" dT="2026-09-08T10:54:36.31" personId="{546BDB3A-668A-4D8C-87A8-0DE14755FBE5}" id="{D0474F68-7DA7-4FC0-8BD1-134ECFB12491}">
    <text>Ставка НДС исполнителя (0.22 для ГОРИЗОНТ; 0.00 для МАС/ИП)
Автоматически заполняемый столбец</text>
  </threadedComment>
  <threadedComment ref="N1" dT="2025-09-10T06:51:06.38" personId="{546BDB3A-668A-4D8C-87A8-0DE14755FBE5}" id="{9096AD6D-0080-4F91-9D46-8ADB24D70A9C}">
    <text>Итоговая цена по позиции - реализация
Автоматически заполняемый столбец</text>
  </threadedComment>
  <threadedComment ref="O1" dT="2026-09-08T11:05:53.07" personId="{546BDB3A-668A-4D8C-87A8-0DE14755FBE5}" id="{F5520E19-1749-4935-937F-D330CD583E41}">
    <text>Исходящий НДС на ед.
Автоматически заполняемый столбец</text>
  </threadedComment>
  <threadedComment ref="P1" dT="2026-09-08T11:06:33.10" personId="{546BDB3A-668A-4D8C-87A8-0DE14755FBE5}" id="{CD8022F8-4810-4BA1-A1F9-0C15B5CF4AD3}">
    <text>Итоговая цена за ед. С НДС
Автоматически заполняемый столбец</text>
  </threadedComment>
  <threadedComment ref="Q1" dT="2025-09-10T06:51:25.57" personId="{546BDB3A-668A-4D8C-87A8-0DE14755FBE5}" id="{A186831B-F51A-48CE-8D1F-DD0498716A32}">
    <text xml:space="preserve">Итоговая стоимость по позиции - реализация
Автоматически заполняемый столбец
</text>
  </threadedComment>
  <threadedComment ref="R1" dT="2026-09-08T11:06:59.06" personId="{546BDB3A-668A-4D8C-87A8-0DE14755FBE5}" id="{7AB54C9D-A09E-42F2-9D72-BE02ECAADC92}">
    <text>Итоговая НДС по позиции - реализация
Автоматически заполняемый столбец</text>
  </threadedComment>
  <threadedComment ref="S1" dT="2026-09-08T11:09:23.14" personId="{546BDB3A-668A-4D8C-87A8-0DE14755FBE5}" id="{8E0C7296-1BDD-4B47-A850-27FD40517584}">
    <text>Итоговая стоимость по позиции с НДС - реализация
Автоматически заполняемый столбец</text>
  </threadedComment>
  <threadedComment ref="T1" dT="2025-09-10T06:52:30.62" personId="{546BDB3A-668A-4D8C-87A8-0DE14755FBE5}" id="{9B32C0B5-C05B-484C-A693-11A0F23F77D8}">
    <text>Длительность в календарных днях реализации товара или услуги</text>
  </threadedComment>
  <threadedComment ref="U1" dT="2025-09-10T06:53:01.23" personId="{546BDB3A-668A-4D8C-87A8-0DE14755FBE5}" id="{B42D3B41-058E-4983-94A4-8C60C7C63672}">
    <text>Признак закупки позиции в данном заказе</text>
  </threadedComment>
  <threadedComment ref="V1" dT="2025-09-10T06:53:17.00" personId="{546BDB3A-668A-4D8C-87A8-0DE14755FBE5}" id="{56C833C4-D222-48BD-9788-D14B6BE0D29E}">
    <text xml:space="preserve">Признак  пост-модификации коммерческих данных данной коллекции </text>
  </threadedComment>
  <threadedComment ref="W1" dT="2025-09-10T06:54:08.95" personId="{546BDB3A-668A-4D8C-87A8-0DE14755FBE5}" id="{F8030F50-FD87-4745-A651-025560126A86}">
    <text>Комментарий для - заказчика.
Свободная информация по позиции для технических спецификаций предназначенных заказчику</text>
  </threadedComment>
</ThreadedComments>
</file>

<file path=xl/threadedComments/threadedComment3.xml><?xml version="1.0" encoding="utf-8"?>
<ThreadedComments xmlns="http://schemas.microsoft.com/office/spreadsheetml/2018/threadedcomments" xmlns:x="http://schemas.openxmlformats.org/spreadsheetml/2006/main">
  <threadedComment ref="B1" dT="2026-09-08T14:16:19.41" personId="{546BDB3A-668A-4D8C-87A8-0DE14755FBE5}" id="{E72C4575-B903-42C0-BF0C-095553A1C54C}">
    <text>Нумерация в соответствии с нумерацией столбцов Excel</text>
  </threadedComment>
  <threadedComment ref="C1" dT="2025-08-26T18:36:16.30" personId="{546BDB3A-668A-4D8C-87A8-0DE14755FBE5}" id="{467C0B6F-9F95-4DB0-BF80-F675DE91455F}">
    <text>Рабочее наименование столбца</text>
  </threadedComment>
  <threadedComment ref="D1" dT="2025-08-26T18:39:10.84" personId="{546BDB3A-668A-4D8C-87A8-0DE14755FBE5}" id="{4CFBF6B6-7EFD-4069-8DE5-8B3A382DE8B5}">
    <text>Технологический столбец. Здесь содержится рекомендуемое наименование на русском языке в случае когда требуется конвертировать таблицу и результирующей таблице должны быть русскоязычные наименования</text>
  </threadedComment>
  <threadedComment ref="E1" dT="2025-08-26T18:40:10.72" personId="{546BDB3A-668A-4D8C-87A8-0DE14755FBE5}" id="{F53B5208-810B-4812-85B6-273910B12FA2}">
    <text>Тип данных столбца, который необходимо задать вконфигурации JSON. Данный параметр отработает при валидации таблицы</text>
  </threadedComment>
  <threadedComment ref="F1" dT="2025-08-26T14:23:18.65" personId="{546BDB3A-668A-4D8C-87A8-0DE14755FBE5}" id="{402736B6-8AA9-44F1-87AF-DCFCB998D9A2}">
    <text xml:space="preserve">Диапазон допустимых значений
</text>
  </threadedComment>
  <threadedComment ref="G1" dT="2025-08-26T18:35:52.66" personId="{546BDB3A-668A-4D8C-87A8-0DE14755FBE5}" id="{73665B3F-01E8-4647-B7CF-D2ADCE5DFF7A}">
    <text>Признак того что столбец должен хранить только уникальные значения</text>
  </threadedComment>
  <threadedComment ref="H1" dT="2025-08-26T13:33:29.24" personId="{546BDB3A-668A-4D8C-87A8-0DE14755FBE5}" id="{BF2E705E-F92F-4135-963A-1D08D1A86B10}">
    <text>Признак допустимости ‘null’ (т.е. пустых) значения в данном столбце</text>
  </threadedComment>
  <threadedComment ref="I1" dT="2025-09-11T18:35:40.60" personId="{546BDB3A-668A-4D8C-87A8-0DE14755FBE5}" id="{BA3FC78D-DF56-4299-98BA-EF543AEDDE96}">
    <text>Автоматически заполняемый столбец. Пользователь не должен руками вносить значения</text>
  </threadedComment>
  <threadedComment ref="J1" dT="2025-08-26T18:51:01.94" personId="{546BDB3A-668A-4D8C-87A8-0DE14755FBE5}" id="{C4590EF0-B4FA-4AF9-B9E3-97C4D5D4FB74}">
    <text>Флаг ‘’разрешает’’ в соответствии с бизнес процессами ручную/автоматизированную корректировку значений хранящихся в данном столбце определяемыми специфичными условиями проекта или взаимоотношений с заказчиком</text>
  </threadedComment>
  <threadedComment ref="K1" dT="2025-08-26T18:55:29.91" personId="{546BDB3A-668A-4D8C-87A8-0DE14755FBE5}" id="{1B29FCF3-2C93-496F-9F2F-E1BE3F0529EE}">
    <text>Значение не равное ‘none’ показывает что значения столбца обязаны заполняться из HandBbook (т.е. из справочной таблицы). В таком случае необходимо указать название справочной таблицы к которой привязан столбец. 
Важно: указывается не локальный Handbook 2-го типа а именно таблица- первоисточник данных</text>
  </threadedComment>
  <threadedComment ref="L1" dT="2026-09-08T15:06:04.09" personId="{546BDB3A-668A-4D8C-87A8-0DE14755FBE5}" id="{2C9CD6CD-74E9-4E5F-9945-3215BE6F4F59}">
    <text>Признак выбора значений из выпадающего списка</text>
  </threadedComment>
  <threadedComment ref="M1" dT="2025-08-30T19:10:47.02" personId="{546BDB3A-668A-4D8C-87A8-0DE14755FBE5}" id="{38ECDC56-C1B3-4279-9135-C2F194AF05C2}">
    <text xml:space="preserve">Тип данных который необходимо задать в Excel при первом создании каркаса таблицы. Необходимо соблюдать правило при котором типы заданные в JSON конфигурации и в Excel - совпадают по возможностям
</text>
  </threadedComment>
  <threadedComment ref="P1" dT="2025-10-14T16:26:08.02" personId="{546BDB3A-668A-4D8C-87A8-0DE14755FBE5}" id="{0E01910B-EABC-47EE-A6F2-36B241839F32}">
    <text>Включить перенос текста</text>
  </threadedComment>
  <threadedComment ref="Q1" dT="2025-08-26T21:21:32.93" personId="{546BDB3A-668A-4D8C-87A8-0DE14755FBE5}" id="{2542A1D5-C697-4EB9-ADE5-2F46F073681A}">
    <text xml:space="preserve">Комментарий поясняющий смысл хранимых в столбце данных, также ряд ограничений связанных с ним и ряд другой информации. </text>
  </threadedComment>
</ThreadedComments>
</file>

<file path=xl/threadedComments/threadedComment4.xml><?xml version="1.0" encoding="utf-8"?>
<ThreadedComments xmlns="http://schemas.microsoft.com/office/spreadsheetml/2018/threadedcomments" xmlns:x="http://schemas.openxmlformats.org/spreadsheetml/2006/main">
  <threadedComment ref="A1" dT="2025-08-18T09:05:32.10" personId="{546BDB3A-668A-4D8C-87A8-0DE14755FBE5}" id="{677E766F-DCD2-40C5-BCF6-694B76559E7B}">
    <text>Столбец хранит уникальный, для данной таблицы в данной Excel книге, целочисленные идентификаторы. Данный идентификатор не является основообразующим для работы BI скриптов, в качестве таковых выступают значения ключевого для данной таблицы столбца - 'IDconfig'. Тем не менее к столбцу предъявляются типовые требования целочисленных ID столбцов - значения должны быть целочисленным, начинаться строго с '1' и не иметь разрывов и перескоков в цепочке значений.</text>
  </threadedComment>
  <threadedComment ref="B1" dT="2025-08-18T09:01:09.84" personId="{546BDB3A-668A-4D8C-87A8-0DE14755FBE5}" id="{9097B5E4-5BB8-495D-920F-57E4FE5CA3D9}">
    <text>Столбец хранит уникальные, для данной таблицы в данной Excel книге, текстовые идентификаторы. По данному идентификатору внешний Power Query скрипт будет находить  требуемый конфигурационный JSON объект в столбце ‘CONFIG_JSON’ и обрабатывать таблицу в соответствии с ним. В качестве значений могут выступать любые текстовые фразы, в том числе состоящие из нескольких слов но не имеющие в своем составе пробелов, также необходимо соблюдать язык символов - только латиница.</text>
  </threadedComment>
  <threadedComment ref="C1" dT="2025-08-18T09:23:09.20" personId="{546BDB3A-668A-4D8C-87A8-0DE14755FBE5}" id="{EAFE6082-86D5-4614-8F32-BA64CCE0A820}">
    <text>Столбец хранит набор конфигурационных объектов, строго в формате JSON, в которых на языке 'HorizonBI' описано:
'ЧТО/КАК/В КАКОМ ОБЪЕМЕ' необходимо обработать объект Excel книги.</text>
  </threadedComment>
  <threadedComment ref="D1" dT="2025-08-18T09:10:04.85" personId="{546BDB3A-668A-4D8C-87A8-0DE14755FBE5}" id="{324BD8BD-4E4A-4D8A-8018-FCE55CC73CF0}">
    <text>Комментарий определяющий назначение конфигурационного JSON объекта.</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1.bin"/><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9.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table" Target="../tables/table9.xml"/><Relationship Id="rId1" Type="http://schemas.openxmlformats.org/officeDocument/2006/relationships/vmlDrawing" Target="../drawings/vmlDrawing4.vml"/><Relationship Id="rId4" Type="http://schemas.microsoft.com/office/2017/10/relationships/threadedComment" Target="../threadedComments/threadedComment4.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E2138-C99F-4E5C-BA1C-A2F685F03BF8}">
  <dimension ref="A1:AD10"/>
  <sheetViews>
    <sheetView topLeftCell="H1" zoomScale="80" zoomScaleNormal="80" workbookViewId="0">
      <pane ySplit="1" topLeftCell="A8" activePane="bottomLeft" state="frozen"/>
      <selection pane="bottomLeft" activeCell="E9" sqref="E9"/>
    </sheetView>
  </sheetViews>
  <sheetFormatPr defaultRowHeight="14.4" outlineLevelCol="2" x14ac:dyDescent="0.3"/>
  <cols>
    <col min="1" max="1" width="7.5546875" customWidth="1" outlineLevel="2"/>
    <col min="2" max="2" width="9" customWidth="1" outlineLevel="2"/>
    <col min="3" max="3" width="21.6640625" customWidth="1" outlineLevel="2"/>
    <col min="4" max="4" width="8.6640625" customWidth="1" outlineLevel="2"/>
    <col min="5" max="5" width="13.33203125" customWidth="1" outlineLevel="2"/>
    <col min="6" max="6" width="14.88671875" customWidth="1" outlineLevel="1"/>
    <col min="7" max="7" width="7.5546875" customWidth="1" outlineLevel="1"/>
    <col min="8" max="8" width="11.33203125" customWidth="1" outlineLevel="1"/>
    <col min="9" max="9" width="10.6640625" customWidth="1"/>
    <col min="10" max="10" width="12.6640625" customWidth="1"/>
    <col min="11" max="11" width="36.44140625" hidden="1" customWidth="1"/>
    <col min="12" max="12" width="28.6640625" customWidth="1"/>
    <col min="13" max="13" width="54.44140625" customWidth="1"/>
    <col min="14" max="15" width="18.6640625" customWidth="1" outlineLevel="1"/>
    <col min="16" max="17" width="20.6640625" customWidth="1" outlineLevel="1"/>
    <col min="18" max="18" width="9" customWidth="1"/>
    <col min="19" max="19" width="10.6640625" customWidth="1"/>
    <col min="20" max="20" width="11.6640625" customWidth="1"/>
    <col min="21" max="21" width="12.33203125" customWidth="1"/>
    <col min="22" max="22" width="12.5546875" customWidth="1"/>
    <col min="23" max="23" width="14.6640625" customWidth="1"/>
    <col min="24" max="24" width="15.109375" customWidth="1"/>
    <col min="25" max="25" width="16.6640625" customWidth="1"/>
    <col min="26" max="26" width="16" bestFit="1" customWidth="1"/>
    <col min="27" max="30" width="25.77734375" customWidth="1"/>
  </cols>
  <sheetData>
    <row r="1" spans="1:30" ht="43.2" x14ac:dyDescent="0.3">
      <c r="A1" s="4" t="s">
        <v>0</v>
      </c>
      <c r="B1" s="4" t="s">
        <v>1</v>
      </c>
      <c r="C1" s="4" t="s">
        <v>2</v>
      </c>
      <c r="D1" s="8"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477</v>
      </c>
      <c r="Y1" s="4" t="s">
        <v>23</v>
      </c>
      <c r="Z1" s="4" t="s">
        <v>564</v>
      </c>
      <c r="AA1" s="4" t="s">
        <v>24</v>
      </c>
      <c r="AB1" s="4" t="s">
        <v>25</v>
      </c>
      <c r="AC1" s="4" t="s">
        <v>26</v>
      </c>
      <c r="AD1" s="4" t="s">
        <v>27</v>
      </c>
    </row>
    <row r="2" spans="1:30" ht="187.2" x14ac:dyDescent="0.3">
      <c r="A2" s="59" t="s">
        <v>497</v>
      </c>
      <c r="B2" s="59" t="s">
        <v>498</v>
      </c>
      <c r="C2" s="60" t="s">
        <v>499</v>
      </c>
      <c r="D2" s="59" t="str">
        <f>MID(TabSpecificationWork_1[[#This Row],[NUM PROJECT]], SEARCH("-N",TabSpecificationWork_1[[#This Row],[NUM PROJECT]])+2, SEARCH("-",TabSpecificationWork_1[[#This Row],[NUM PROJECT]],SEARCH("-",TabSpecificationWork_1[[#This Row],[NUM PROJECT]])+1) - (SEARCH("-N",TabSpecificationWork_1[[#This Row],[NUM PROJECT]])+2))</f>
        <v>1</v>
      </c>
      <c r="E2" s="59">
        <v>1</v>
      </c>
      <c r="F2" s="5" t="s">
        <v>500</v>
      </c>
      <c r="G2" s="59">
        <v>1</v>
      </c>
      <c r="H2" s="59">
        <v>1</v>
      </c>
      <c r="I2" s="61" t="str">
        <f>CONCATENATE(TabSpecificationWork_1[[#This Row],[IDset]],".",TabSpecificationWork_1[[#This Row],[NUM SEQUENCE SET]])</f>
        <v>1.1</v>
      </c>
      <c r="J2" s="62" t="s">
        <v>29</v>
      </c>
      <c r="K2" s="63" t="str">
        <f>LOWER(CONCATENATE(TabSpecificationWork_1[[#This Row],[NUM PROJECT]],"-","ver_",TabSpecificationWork_1[[#This Row],[VER COLLECTION]],"-","set_",TabSpecificationWork_1[[#This Row],[NUM FULL SET]],"-",TabSpecificationWork_1[[#This Row],[isSHIPPED]]))</f>
        <v>8/2026-n1-горизонт-ver_1-set_1.1-true</v>
      </c>
      <c r="L2" s="64" t="s">
        <v>501</v>
      </c>
      <c r="M2" s="5" t="s">
        <v>569</v>
      </c>
      <c r="N2" s="65" t="s">
        <v>274</v>
      </c>
      <c r="O2" s="65" t="s">
        <v>274</v>
      </c>
      <c r="P2" s="65" t="s">
        <v>588</v>
      </c>
      <c r="Q2" s="65" t="s">
        <v>588</v>
      </c>
      <c r="R2" s="65" t="s">
        <v>33</v>
      </c>
      <c r="S2" s="59">
        <v>1</v>
      </c>
      <c r="T2" s="59">
        <v>1</v>
      </c>
      <c r="U2" s="59">
        <f>TabSpecificationWork_1[[#This Row],[QUANTITY SET]]*TabSpecificationWork_1[[#This Row],[QUANTITY SHIPPED SET]]</f>
        <v>1</v>
      </c>
      <c r="V2" s="59">
        <v>1</v>
      </c>
      <c r="W2" s="66">
        <v>78000</v>
      </c>
      <c r="X2" s="67">
        <v>0</v>
      </c>
      <c r="Y2" s="66">
        <f>TabSpecificationWork_1[[#This Row],[QUANTITY TOTAL]]*TabSpecificationWork_1[[#This Row],[PRICE UNIT $PURCHASE]]</f>
        <v>78000</v>
      </c>
      <c r="Z2" s="66">
        <f>TabSpecificationWork_1[[#This Row],[VAT ADD PRICE $PURCHASE]]*TabSpecificationWork_1[[#This Row],[QUANTITY TOTAL]]+TabSpecificationWork_1[[#This Row],[COST PRICE $PURCHASE]]</f>
        <v>78000</v>
      </c>
      <c r="AA2" s="68" t="s">
        <v>498</v>
      </c>
      <c r="AB2" s="5" t="s">
        <v>589</v>
      </c>
      <c r="AC2" s="5" t="s">
        <v>498</v>
      </c>
      <c r="AD2" s="5" t="s">
        <v>498</v>
      </c>
    </row>
    <row r="3" spans="1:30" ht="244.8" x14ac:dyDescent="0.3">
      <c r="A3" s="59" t="s">
        <v>74</v>
      </c>
      <c r="B3" s="59" t="s">
        <v>498</v>
      </c>
      <c r="C3" s="60" t="s">
        <v>499</v>
      </c>
      <c r="D3" s="59" t="str">
        <f>MID(TabSpecificationWork_1[[#This Row],[NUM PROJECT]], SEARCH("-N",TabSpecificationWork_1[[#This Row],[NUM PROJECT]])+2, SEARCH("-",TabSpecificationWork_1[[#This Row],[NUM PROJECT]],SEARCH("-",TabSpecificationWork_1[[#This Row],[NUM PROJECT]])+1) - (SEARCH("-N",TabSpecificationWork_1[[#This Row],[NUM PROJECT]])+2))</f>
        <v>1</v>
      </c>
      <c r="E3" s="59">
        <v>1</v>
      </c>
      <c r="F3" s="5" t="s">
        <v>500</v>
      </c>
      <c r="G3" s="59">
        <v>1</v>
      </c>
      <c r="H3" s="59">
        <v>2</v>
      </c>
      <c r="I3" s="61" t="str">
        <f>CONCATENATE(TabSpecificationWork_1[[#This Row],[IDset]],".",TabSpecificationWork_1[[#This Row],[NUM SEQUENCE SET]])</f>
        <v>1.2</v>
      </c>
      <c r="J3" s="62" t="s">
        <v>29</v>
      </c>
      <c r="K3" s="63" t="str">
        <f>LOWER(CONCATENATE(TabSpecificationWork_1[[#This Row],[NUM PROJECT]],"-","ver_",TabSpecificationWork_1[[#This Row],[VER COLLECTION]],"-","set_",TabSpecificationWork_1[[#This Row],[NUM FULL SET]],"-",TabSpecificationWork_1[[#This Row],[isSHIPPED]]))</f>
        <v>8/2026-n1-горизонт-ver_1-set_1.2-true</v>
      </c>
      <c r="L3" s="64" t="s">
        <v>502</v>
      </c>
      <c r="M3" s="5" t="s">
        <v>503</v>
      </c>
      <c r="N3" s="65" t="s">
        <v>274</v>
      </c>
      <c r="O3" s="65" t="s">
        <v>274</v>
      </c>
      <c r="P3" s="65" t="s">
        <v>588</v>
      </c>
      <c r="Q3" s="65" t="s">
        <v>588</v>
      </c>
      <c r="R3" s="65" t="s">
        <v>33</v>
      </c>
      <c r="S3" s="59">
        <v>1</v>
      </c>
      <c r="T3" s="59">
        <v>1</v>
      </c>
      <c r="U3" s="59">
        <f>TabSpecificationWork_1[[#This Row],[QUANTITY SET]]*TabSpecificationWork_1[[#This Row],[QUANTITY SHIPPED SET]]</f>
        <v>1</v>
      </c>
      <c r="V3" s="59">
        <v>1</v>
      </c>
      <c r="W3" s="66">
        <v>25000</v>
      </c>
      <c r="X3" s="67">
        <v>0</v>
      </c>
      <c r="Y3" s="66">
        <f>TabSpecificationWork_1[[#This Row],[QUANTITY TOTAL]]*TabSpecificationWork_1[[#This Row],[PRICE UNIT $PURCHASE]]</f>
        <v>25000</v>
      </c>
      <c r="Z3" s="66">
        <f>TabSpecificationWork_1[[#This Row],[VAT ADD PRICE $PURCHASE]]*TabSpecificationWork_1[[#This Row],[QUANTITY TOTAL]]+TabSpecificationWork_1[[#This Row],[COST PRICE $PURCHASE]]</f>
        <v>25000</v>
      </c>
      <c r="AA3" s="68" t="s">
        <v>498</v>
      </c>
      <c r="AB3" s="5" t="s">
        <v>589</v>
      </c>
      <c r="AC3" s="5" t="s">
        <v>498</v>
      </c>
      <c r="AD3" s="5" t="s">
        <v>498</v>
      </c>
    </row>
    <row r="4" spans="1:30" ht="273.60000000000002" x14ac:dyDescent="0.3">
      <c r="A4" s="59" t="s">
        <v>71</v>
      </c>
      <c r="B4" s="59" t="s">
        <v>498</v>
      </c>
      <c r="C4" s="60" t="s">
        <v>499</v>
      </c>
      <c r="D4" s="59" t="str">
        <f>MID(TabSpecificationWork_1[[#This Row],[NUM PROJECT]], SEARCH("-N",TabSpecificationWork_1[[#This Row],[NUM PROJECT]])+2, SEARCH("-",TabSpecificationWork_1[[#This Row],[NUM PROJECT]],SEARCH("-",TabSpecificationWork_1[[#This Row],[NUM PROJECT]])+1) - (SEARCH("-N",TabSpecificationWork_1[[#This Row],[NUM PROJECT]])+2))</f>
        <v>1</v>
      </c>
      <c r="E4" s="59">
        <v>1</v>
      </c>
      <c r="F4" s="5" t="s">
        <v>500</v>
      </c>
      <c r="G4" s="59">
        <v>1</v>
      </c>
      <c r="H4" s="59">
        <v>3</v>
      </c>
      <c r="I4" s="61" t="str">
        <f>CONCATENATE(TabSpecificationWork_1[[#This Row],[IDset]],".",TabSpecificationWork_1[[#This Row],[NUM SEQUENCE SET]])</f>
        <v>1.3</v>
      </c>
      <c r="J4" s="62" t="s">
        <v>29</v>
      </c>
      <c r="K4" s="63" t="str">
        <f>LOWER(CONCATENATE(TabSpecificationWork_1[[#This Row],[NUM PROJECT]],"-","ver_",TabSpecificationWork_1[[#This Row],[VER COLLECTION]],"-","set_",TabSpecificationWork_1[[#This Row],[NUM FULL SET]],"-",TabSpecificationWork_1[[#This Row],[isSHIPPED]]))</f>
        <v>8/2026-n1-горизонт-ver_1-set_1.3-true</v>
      </c>
      <c r="L4" s="64" t="s">
        <v>504</v>
      </c>
      <c r="M4" s="5" t="s">
        <v>505</v>
      </c>
      <c r="N4" s="65" t="s">
        <v>274</v>
      </c>
      <c r="O4" s="65" t="s">
        <v>274</v>
      </c>
      <c r="P4" s="65" t="s">
        <v>588</v>
      </c>
      <c r="Q4" s="65" t="s">
        <v>588</v>
      </c>
      <c r="R4" s="65" t="s">
        <v>33</v>
      </c>
      <c r="S4" s="59">
        <v>1</v>
      </c>
      <c r="T4" s="59">
        <v>1</v>
      </c>
      <c r="U4" s="59">
        <f>TabSpecificationWork_1[[#This Row],[QUANTITY SET]]*TabSpecificationWork_1[[#This Row],[QUANTITY SHIPPED SET]]</f>
        <v>1</v>
      </c>
      <c r="V4" s="59">
        <v>1</v>
      </c>
      <c r="W4" s="66">
        <v>46000</v>
      </c>
      <c r="X4" s="67">
        <v>0</v>
      </c>
      <c r="Y4" s="66">
        <f>TabSpecificationWork_1[[#This Row],[QUANTITY TOTAL]]*TabSpecificationWork_1[[#This Row],[PRICE UNIT $PURCHASE]]</f>
        <v>46000</v>
      </c>
      <c r="Z4" s="66">
        <f>TabSpecificationWork_1[[#This Row],[VAT ADD PRICE $PURCHASE]]*TabSpecificationWork_1[[#This Row],[QUANTITY TOTAL]]+TabSpecificationWork_1[[#This Row],[COST PRICE $PURCHASE]]</f>
        <v>46000</v>
      </c>
      <c r="AA4" s="68" t="s">
        <v>498</v>
      </c>
      <c r="AB4" s="5" t="s">
        <v>589</v>
      </c>
      <c r="AC4" s="5" t="s">
        <v>498</v>
      </c>
      <c r="AD4" s="5"/>
    </row>
    <row r="5" spans="1:30" ht="172.8" x14ac:dyDescent="0.3">
      <c r="A5" s="59" t="s">
        <v>70</v>
      </c>
      <c r="B5" s="59" t="s">
        <v>498</v>
      </c>
      <c r="C5" s="60" t="s">
        <v>499</v>
      </c>
      <c r="D5" s="59" t="str">
        <f>MID(TabSpecificationWork_1[[#This Row],[NUM PROJECT]], SEARCH("-N",TabSpecificationWork_1[[#This Row],[NUM PROJECT]])+2, SEARCH("-",TabSpecificationWork_1[[#This Row],[NUM PROJECT]],SEARCH("-",TabSpecificationWork_1[[#This Row],[NUM PROJECT]])+1) - (SEARCH("-N",TabSpecificationWork_1[[#This Row],[NUM PROJECT]])+2))</f>
        <v>1</v>
      </c>
      <c r="E5" s="59">
        <v>1</v>
      </c>
      <c r="F5" s="5" t="s">
        <v>500</v>
      </c>
      <c r="G5" s="59">
        <v>1</v>
      </c>
      <c r="H5" s="59">
        <v>4</v>
      </c>
      <c r="I5" s="61" t="str">
        <f>CONCATENATE(TabSpecificationWork_1[[#This Row],[IDset]],".",TabSpecificationWork_1[[#This Row],[NUM SEQUENCE SET]])</f>
        <v>1.4</v>
      </c>
      <c r="J5" s="62" t="s">
        <v>29</v>
      </c>
      <c r="K5" s="63" t="str">
        <f>LOWER(CONCATENATE(TabSpecificationWork_1[[#This Row],[NUM PROJECT]],"-","ver_",TabSpecificationWork_1[[#This Row],[VER COLLECTION]],"-","set_",TabSpecificationWork_1[[#This Row],[NUM FULL SET]],"-",TabSpecificationWork_1[[#This Row],[isSHIPPED]]))</f>
        <v>8/2026-n1-горизонт-ver_1-set_1.4-true</v>
      </c>
      <c r="L5" s="64" t="s">
        <v>506</v>
      </c>
      <c r="M5" s="5" t="s">
        <v>507</v>
      </c>
      <c r="N5" s="65" t="s">
        <v>274</v>
      </c>
      <c r="O5" s="65" t="s">
        <v>274</v>
      </c>
      <c r="P5" s="65" t="s">
        <v>588</v>
      </c>
      <c r="Q5" s="65" t="s">
        <v>588</v>
      </c>
      <c r="R5" s="65" t="s">
        <v>33</v>
      </c>
      <c r="S5" s="59">
        <v>1</v>
      </c>
      <c r="T5" s="59">
        <v>1</v>
      </c>
      <c r="U5" s="59">
        <f>TabSpecificationWork_1[[#This Row],[QUANTITY SET]]*TabSpecificationWork_1[[#This Row],[QUANTITY SHIPPED SET]]</f>
        <v>1</v>
      </c>
      <c r="V5" s="59">
        <v>1</v>
      </c>
      <c r="W5" s="66">
        <v>50000</v>
      </c>
      <c r="X5" s="67">
        <v>0</v>
      </c>
      <c r="Y5" s="66">
        <f>TabSpecificationWork_1[[#This Row],[QUANTITY TOTAL]]*TabSpecificationWork_1[[#This Row],[PRICE UNIT $PURCHASE]]</f>
        <v>50000</v>
      </c>
      <c r="Z5" s="66">
        <f>TabSpecificationWork_1[[#This Row],[VAT ADD PRICE $PURCHASE]]*TabSpecificationWork_1[[#This Row],[QUANTITY TOTAL]]+TabSpecificationWork_1[[#This Row],[COST PRICE $PURCHASE]]</f>
        <v>50000</v>
      </c>
      <c r="AA5" s="68" t="s">
        <v>498</v>
      </c>
      <c r="AB5" s="5" t="s">
        <v>589</v>
      </c>
      <c r="AC5" s="5" t="s">
        <v>498</v>
      </c>
      <c r="AD5" s="5"/>
    </row>
    <row r="6" spans="1:30" ht="187.2" x14ac:dyDescent="0.3">
      <c r="A6" s="59" t="s">
        <v>77</v>
      </c>
      <c r="B6" s="59" t="s">
        <v>498</v>
      </c>
      <c r="C6" s="60" t="s">
        <v>499</v>
      </c>
      <c r="D6" s="59" t="str">
        <f>MID(TabSpecificationWork_1[[#This Row],[NUM PROJECT]], SEARCH("-N",TabSpecificationWork_1[[#This Row],[NUM PROJECT]])+2, SEARCH("-",TabSpecificationWork_1[[#This Row],[NUM PROJECT]],SEARCH("-",TabSpecificationWork_1[[#This Row],[NUM PROJECT]])+1) - (SEARCH("-N",TabSpecificationWork_1[[#This Row],[NUM PROJECT]])+2))</f>
        <v>1</v>
      </c>
      <c r="E6" s="59">
        <v>1</v>
      </c>
      <c r="F6" s="5" t="s">
        <v>500</v>
      </c>
      <c r="G6" s="59">
        <v>1</v>
      </c>
      <c r="H6" s="59">
        <v>5</v>
      </c>
      <c r="I6" s="61" t="str">
        <f>CONCATENATE(TabSpecificationWork_1[[#This Row],[IDset]],".",TabSpecificationWork_1[[#This Row],[NUM SEQUENCE SET]])</f>
        <v>1.5</v>
      </c>
      <c r="J6" s="62" t="s">
        <v>29</v>
      </c>
      <c r="K6" s="63" t="str">
        <f>LOWER(CONCATENATE(TabSpecificationWork_1[[#This Row],[NUM PROJECT]],"-","ver_",TabSpecificationWork_1[[#This Row],[VER COLLECTION]],"-","set_",TabSpecificationWork_1[[#This Row],[NUM FULL SET]],"-",TabSpecificationWork_1[[#This Row],[isSHIPPED]]))</f>
        <v>8/2026-n1-горизонт-ver_1-set_1.5-true</v>
      </c>
      <c r="L6" s="64" t="s">
        <v>508</v>
      </c>
      <c r="M6" s="5" t="s">
        <v>509</v>
      </c>
      <c r="N6" s="65" t="s">
        <v>274</v>
      </c>
      <c r="O6" s="65" t="s">
        <v>274</v>
      </c>
      <c r="P6" s="65" t="s">
        <v>588</v>
      </c>
      <c r="Q6" s="65" t="s">
        <v>588</v>
      </c>
      <c r="R6" s="65" t="s">
        <v>33</v>
      </c>
      <c r="S6" s="59">
        <v>1</v>
      </c>
      <c r="T6" s="59">
        <v>1</v>
      </c>
      <c r="U6" s="59">
        <f>TabSpecificationWork_1[[#This Row],[QUANTITY SET]]*TabSpecificationWork_1[[#This Row],[QUANTITY SHIPPED SET]]</f>
        <v>1</v>
      </c>
      <c r="V6" s="59">
        <v>1</v>
      </c>
      <c r="W6" s="66">
        <v>50000</v>
      </c>
      <c r="X6" s="67">
        <v>0</v>
      </c>
      <c r="Y6" s="66">
        <f>TabSpecificationWork_1[[#This Row],[QUANTITY TOTAL]]*TabSpecificationWork_1[[#This Row],[PRICE UNIT $PURCHASE]]</f>
        <v>50000</v>
      </c>
      <c r="Z6" s="66">
        <f>TabSpecificationWork_1[[#This Row],[VAT ADD PRICE $PURCHASE]]*TabSpecificationWork_1[[#This Row],[QUANTITY TOTAL]]+TabSpecificationWork_1[[#This Row],[COST PRICE $PURCHASE]]</f>
        <v>50000</v>
      </c>
      <c r="AA6" s="68" t="s">
        <v>498</v>
      </c>
      <c r="AB6" s="5" t="s">
        <v>589</v>
      </c>
      <c r="AC6" s="5" t="s">
        <v>498</v>
      </c>
      <c r="AD6" s="5"/>
    </row>
    <row r="7" spans="1:30" ht="230.4" x14ac:dyDescent="0.3">
      <c r="A7" s="59" t="s">
        <v>510</v>
      </c>
      <c r="B7" s="59" t="s">
        <v>498</v>
      </c>
      <c r="C7" s="60" t="s">
        <v>499</v>
      </c>
      <c r="D7" s="59" t="str">
        <f>MID(TabSpecificationWork_1[[#This Row],[NUM PROJECT]], SEARCH("-N",TabSpecificationWork_1[[#This Row],[NUM PROJECT]])+2, SEARCH("-",TabSpecificationWork_1[[#This Row],[NUM PROJECT]],SEARCH("-",TabSpecificationWork_1[[#This Row],[NUM PROJECT]])+1) - (SEARCH("-N",TabSpecificationWork_1[[#This Row],[NUM PROJECT]])+2))</f>
        <v>1</v>
      </c>
      <c r="E7" s="59">
        <v>1</v>
      </c>
      <c r="F7" s="5" t="s">
        <v>500</v>
      </c>
      <c r="G7" s="59">
        <v>2</v>
      </c>
      <c r="H7" s="59">
        <v>1</v>
      </c>
      <c r="I7" s="61" t="str">
        <f>CONCATENATE(TabSpecificationWork_1[[#This Row],[IDset]],".",TabSpecificationWork_1[[#This Row],[NUM SEQUENCE SET]])</f>
        <v>2.1</v>
      </c>
      <c r="J7" s="62" t="s">
        <v>35</v>
      </c>
      <c r="K7" s="63" t="str">
        <f>LOWER(CONCATENATE(TabSpecificationWork_1[[#This Row],[NUM PROJECT]],"-","ver_",TabSpecificationWork_1[[#This Row],[VER COLLECTION]],"-","set_",TabSpecificationWork_1[[#This Row],[NUM FULL SET]],"-",TabSpecificationWork_1[[#This Row],[isSHIPPED]]))</f>
        <v>8/2026-n1-горизонт-ver_1-set_2.1-false</v>
      </c>
      <c r="L7" s="64" t="s">
        <v>511</v>
      </c>
      <c r="M7" s="5" t="s">
        <v>512</v>
      </c>
      <c r="N7" s="65" t="s">
        <v>274</v>
      </c>
      <c r="O7" s="65" t="s">
        <v>274</v>
      </c>
      <c r="P7" s="65" t="s">
        <v>588</v>
      </c>
      <c r="Q7" s="65" t="s">
        <v>588</v>
      </c>
      <c r="R7" s="65" t="s">
        <v>33</v>
      </c>
      <c r="S7" s="59">
        <v>1</v>
      </c>
      <c r="T7" s="59">
        <v>1</v>
      </c>
      <c r="U7" s="59">
        <f>TabSpecificationWork_1[[#This Row],[QUANTITY SET]]*TabSpecificationWork_1[[#This Row],[QUANTITY SHIPPED SET]]</f>
        <v>1</v>
      </c>
      <c r="V7" s="59">
        <v>1</v>
      </c>
      <c r="W7" s="66">
        <v>100000</v>
      </c>
      <c r="X7" s="67">
        <v>0</v>
      </c>
      <c r="Y7" s="66">
        <f>TabSpecificationWork_1[[#This Row],[QUANTITY TOTAL]]*TabSpecificationWork_1[[#This Row],[PRICE UNIT $PURCHASE]]</f>
        <v>100000</v>
      </c>
      <c r="Z7" s="66">
        <f>TabSpecificationWork_1[[#This Row],[VAT ADD PRICE $PURCHASE]]*TabSpecificationWork_1[[#This Row],[QUANTITY TOTAL]]+TabSpecificationWork_1[[#This Row],[COST PRICE $PURCHASE]]</f>
        <v>100000</v>
      </c>
      <c r="AA7" s="68" t="s">
        <v>498</v>
      </c>
      <c r="AB7" s="5" t="s">
        <v>589</v>
      </c>
      <c r="AC7" s="5" t="s">
        <v>498</v>
      </c>
      <c r="AD7" s="5"/>
    </row>
    <row r="8" spans="1:30" ht="230.4" x14ac:dyDescent="0.3">
      <c r="A8" s="59" t="s">
        <v>513</v>
      </c>
      <c r="B8" s="59" t="s">
        <v>498</v>
      </c>
      <c r="C8" s="60" t="s">
        <v>499</v>
      </c>
      <c r="D8" s="59" t="str">
        <f>MID(TabSpecificationWork_1[[#This Row],[NUM PROJECT]], SEARCH("-N",TabSpecificationWork_1[[#This Row],[NUM PROJECT]])+2, SEARCH("-",TabSpecificationWork_1[[#This Row],[NUM PROJECT]],SEARCH("-",TabSpecificationWork_1[[#This Row],[NUM PROJECT]])+1) - (SEARCH("-N",TabSpecificationWork_1[[#This Row],[NUM PROJECT]])+2))</f>
        <v>1</v>
      </c>
      <c r="E8" s="59">
        <v>1</v>
      </c>
      <c r="F8" s="5" t="s">
        <v>500</v>
      </c>
      <c r="G8" s="59">
        <v>1</v>
      </c>
      <c r="H8" s="59">
        <v>6</v>
      </c>
      <c r="I8" s="61" t="str">
        <f>CONCATENATE(TabSpecificationWork_1[[#This Row],[IDset]],".",TabSpecificationWork_1[[#This Row],[NUM SEQUENCE SET]])</f>
        <v>1.6</v>
      </c>
      <c r="J8" s="62" t="s">
        <v>29</v>
      </c>
      <c r="K8" s="63" t="str">
        <f>LOWER(CONCATENATE(TabSpecificationWork_1[[#This Row],[NUM PROJECT]],"-","ver_",TabSpecificationWork_1[[#This Row],[VER COLLECTION]],"-","set_",TabSpecificationWork_1[[#This Row],[NUM FULL SET]],"-",TabSpecificationWork_1[[#This Row],[isSHIPPED]]))</f>
        <v>8/2026-n1-горизонт-ver_1-set_1.6-true</v>
      </c>
      <c r="L8" s="64" t="s">
        <v>514</v>
      </c>
      <c r="M8" s="5" t="s">
        <v>568</v>
      </c>
      <c r="N8" s="65" t="s">
        <v>274</v>
      </c>
      <c r="O8" s="65" t="s">
        <v>274</v>
      </c>
      <c r="P8" s="65" t="s">
        <v>588</v>
      </c>
      <c r="Q8" s="65" t="s">
        <v>588</v>
      </c>
      <c r="R8" s="65" t="s">
        <v>33</v>
      </c>
      <c r="S8" s="59">
        <v>1</v>
      </c>
      <c r="T8" s="59">
        <v>1</v>
      </c>
      <c r="U8" s="59">
        <f>TabSpecificationWork_1[[#This Row],[QUANTITY SET]]*TabSpecificationWork_1[[#This Row],[QUANTITY SHIPPED SET]]</f>
        <v>1</v>
      </c>
      <c r="V8" s="59">
        <v>1</v>
      </c>
      <c r="W8" s="66">
        <v>25000</v>
      </c>
      <c r="X8" s="67">
        <v>0</v>
      </c>
      <c r="Y8" s="66">
        <f>TabSpecificationWork_1[[#This Row],[QUANTITY TOTAL]]*TabSpecificationWork_1[[#This Row],[PRICE UNIT $PURCHASE]]</f>
        <v>25000</v>
      </c>
      <c r="Z8" s="66">
        <f>TabSpecificationWork_1[[#This Row],[VAT ADD PRICE $PURCHASE]]*TabSpecificationWork_1[[#This Row],[QUANTITY TOTAL]]+TabSpecificationWork_1[[#This Row],[COST PRICE $PURCHASE]]</f>
        <v>25000</v>
      </c>
      <c r="AA8" s="68" t="s">
        <v>498</v>
      </c>
      <c r="AB8" s="5" t="s">
        <v>589</v>
      </c>
      <c r="AC8" s="5" t="s">
        <v>498</v>
      </c>
      <c r="AD8" s="5"/>
    </row>
    <row r="9" spans="1:30" ht="187.2" x14ac:dyDescent="0.3">
      <c r="A9" s="59" t="s">
        <v>515</v>
      </c>
      <c r="B9" s="59" t="s">
        <v>498</v>
      </c>
      <c r="C9" s="60" t="s">
        <v>499</v>
      </c>
      <c r="D9" s="59" t="str">
        <f>MID(TabSpecificationWork_1[[#This Row],[NUM PROJECT]], SEARCH("-N",TabSpecificationWork_1[[#This Row],[NUM PROJECT]])+2, SEARCH("-",TabSpecificationWork_1[[#This Row],[NUM PROJECT]],SEARCH("-",TabSpecificationWork_1[[#This Row],[NUM PROJECT]])+1) - (SEARCH("-N",TabSpecificationWork_1[[#This Row],[NUM PROJECT]])+2))</f>
        <v>1</v>
      </c>
      <c r="E9" s="59">
        <v>1</v>
      </c>
      <c r="F9" s="5" t="s">
        <v>500</v>
      </c>
      <c r="G9" s="59">
        <v>1</v>
      </c>
      <c r="H9" s="59">
        <v>7</v>
      </c>
      <c r="I9" s="61" t="str">
        <f>CONCATENATE(TabSpecificationWork_1[[#This Row],[IDset]],".",TabSpecificationWork_1[[#This Row],[NUM SEQUENCE SET]])</f>
        <v>1.7</v>
      </c>
      <c r="J9" s="62" t="s">
        <v>29</v>
      </c>
      <c r="K9" s="63" t="str">
        <f>LOWER(CONCATENATE(TabSpecificationWork_1[[#This Row],[NUM PROJECT]],"-","ver_",TabSpecificationWork_1[[#This Row],[VER COLLECTION]],"-","set_",TabSpecificationWork_1[[#This Row],[NUM FULL SET]],"-",TabSpecificationWork_1[[#This Row],[isSHIPPED]]))</f>
        <v>8/2026-n1-горизонт-ver_1-set_1.7-true</v>
      </c>
      <c r="L9" s="64" t="s">
        <v>516</v>
      </c>
      <c r="M9" s="5" t="s">
        <v>517</v>
      </c>
      <c r="N9" s="65" t="s">
        <v>274</v>
      </c>
      <c r="O9" s="65" t="s">
        <v>274</v>
      </c>
      <c r="P9" s="65" t="s">
        <v>588</v>
      </c>
      <c r="Q9" s="65" t="s">
        <v>588</v>
      </c>
      <c r="R9" s="65" t="s">
        <v>33</v>
      </c>
      <c r="S9" s="59">
        <v>1</v>
      </c>
      <c r="T9" s="59">
        <v>1</v>
      </c>
      <c r="U9" s="59">
        <f>TabSpecificationWork_1[[#This Row],[QUANTITY SET]]*TabSpecificationWork_1[[#This Row],[QUANTITY SHIPPED SET]]</f>
        <v>1</v>
      </c>
      <c r="V9" s="59">
        <v>1</v>
      </c>
      <c r="W9" s="66">
        <v>25000</v>
      </c>
      <c r="X9" s="67">
        <v>0</v>
      </c>
      <c r="Y9" s="66">
        <f>TabSpecificationWork_1[[#This Row],[QUANTITY TOTAL]]*TabSpecificationWork_1[[#This Row],[PRICE UNIT $PURCHASE]]</f>
        <v>25000</v>
      </c>
      <c r="Z9" s="66">
        <f>TabSpecificationWork_1[[#This Row],[VAT ADD PRICE $PURCHASE]]*TabSpecificationWork_1[[#This Row],[QUANTITY TOTAL]]+TabSpecificationWork_1[[#This Row],[COST PRICE $PURCHASE]]</f>
        <v>25000</v>
      </c>
      <c r="AA9" s="68" t="s">
        <v>498</v>
      </c>
      <c r="AB9" s="5" t="s">
        <v>589</v>
      </c>
      <c r="AC9" s="5" t="s">
        <v>498</v>
      </c>
      <c r="AD9" s="5"/>
    </row>
    <row r="10" spans="1:30" ht="158.4" x14ac:dyDescent="0.3">
      <c r="A10" s="59" t="s">
        <v>518</v>
      </c>
      <c r="B10" s="59" t="s">
        <v>498</v>
      </c>
      <c r="C10" s="60" t="s">
        <v>499</v>
      </c>
      <c r="D10" s="59" t="str">
        <f>MID(TabSpecificationWork_1[[#This Row],[NUM PROJECT]], SEARCH("-N",TabSpecificationWork_1[[#This Row],[NUM PROJECT]])+2, SEARCH("-",TabSpecificationWork_1[[#This Row],[NUM PROJECT]],SEARCH("-",TabSpecificationWork_1[[#This Row],[NUM PROJECT]])+1) - (SEARCH("-N",TabSpecificationWork_1[[#This Row],[NUM PROJECT]])+2))</f>
        <v>1</v>
      </c>
      <c r="E10" s="59">
        <v>1</v>
      </c>
      <c r="F10" s="5" t="s">
        <v>500</v>
      </c>
      <c r="G10" s="59">
        <v>4</v>
      </c>
      <c r="H10" s="59">
        <v>1</v>
      </c>
      <c r="I10" s="61" t="str">
        <f>CONCATENATE(TabSpecificationWork_1[[#This Row],[IDset]],".",TabSpecificationWork_1[[#This Row],[NUM SEQUENCE SET]])</f>
        <v>4.1</v>
      </c>
      <c r="J10" s="62" t="s">
        <v>35</v>
      </c>
      <c r="K10" s="63" t="str">
        <f>LOWER(CONCATENATE(TabSpecificationWork_1[[#This Row],[NUM PROJECT]],"-","ver_",TabSpecificationWork_1[[#This Row],[VER COLLECTION]],"-","set_",TabSpecificationWork_1[[#This Row],[NUM FULL SET]],"-",TabSpecificationWork_1[[#This Row],[isSHIPPED]]))</f>
        <v>8/2026-n1-горизонт-ver_1-set_4.1-false</v>
      </c>
      <c r="L10" s="64" t="s">
        <v>519</v>
      </c>
      <c r="M10" s="5" t="s">
        <v>520</v>
      </c>
      <c r="N10" s="65" t="s">
        <v>274</v>
      </c>
      <c r="O10" s="65" t="s">
        <v>274</v>
      </c>
      <c r="P10" s="65" t="s">
        <v>588</v>
      </c>
      <c r="Q10" s="65" t="s">
        <v>588</v>
      </c>
      <c r="R10" s="65" t="s">
        <v>33</v>
      </c>
      <c r="S10" s="59">
        <v>1</v>
      </c>
      <c r="T10" s="59">
        <v>1</v>
      </c>
      <c r="U10" s="59">
        <f>TabSpecificationWork_1[[#This Row],[QUANTITY SET]]*TabSpecificationWork_1[[#This Row],[QUANTITY SHIPPED SET]]</f>
        <v>1</v>
      </c>
      <c r="V10" s="59">
        <v>1</v>
      </c>
      <c r="W10" s="66">
        <v>100000</v>
      </c>
      <c r="X10" s="67">
        <v>0</v>
      </c>
      <c r="Y10" s="66">
        <f>TabSpecificationWork_1[[#This Row],[QUANTITY TOTAL]]*TabSpecificationWork_1[[#This Row],[PRICE UNIT $PURCHASE]]</f>
        <v>100000</v>
      </c>
      <c r="Z10" s="66">
        <f>TabSpecificationWork_1[[#This Row],[VAT ADD PRICE $PURCHASE]]*TabSpecificationWork_1[[#This Row],[QUANTITY TOTAL]]+TabSpecificationWork_1[[#This Row],[COST PRICE $PURCHASE]]</f>
        <v>100000</v>
      </c>
      <c r="AA10" s="68" t="s">
        <v>498</v>
      </c>
      <c r="AB10" s="5" t="s">
        <v>601</v>
      </c>
      <c r="AC10" s="5" t="s">
        <v>498</v>
      </c>
      <c r="AD10" s="5"/>
    </row>
  </sheetData>
  <phoneticPr fontId="19" type="noConversion"/>
  <conditionalFormatting sqref="C2:C10">
    <cfRule type="duplicateValues" dxfId="14" priority="49"/>
  </conditionalFormatting>
  <conditionalFormatting sqref="I2:I10">
    <cfRule type="duplicateValues" dxfId="13" priority="50"/>
  </conditionalFormatting>
  <conditionalFormatting sqref="K2:K10">
    <cfRule type="notContainsBlanks" dxfId="12" priority="51">
      <formula>LEN(TRIM(K2))&gt;0</formula>
    </cfRule>
    <cfRule type="duplicateValues" priority="52"/>
  </conditionalFormatting>
  <conditionalFormatting sqref="Y2:Z10">
    <cfRule type="notContainsBlanks" dxfId="11" priority="3">
      <formula>LEN(TRIM(Y2))&gt;0</formula>
    </cfRule>
  </conditionalFormatting>
  <dataValidations count="5">
    <dataValidation type="list" showInputMessage="1" showErrorMessage="1" sqref="C2:C10" xr:uid="{672C23D1-CF50-40A7-B8EA-B26A583FFA99}">
      <formula1>INDIRECT("TabHandbookProject[IDprojectfull]")</formula1>
    </dataValidation>
    <dataValidation type="list" showInputMessage="1" showErrorMessage="1" sqref="J2:J10" xr:uid="{9B9D790D-A184-4957-A391-57F2969E43F7}">
      <formula1>"true,false"</formula1>
    </dataValidation>
    <dataValidation type="list" allowBlank="1" showInputMessage="1" showErrorMessage="1" sqref="N2:N10" xr:uid="{72549B2C-B762-41CA-A115-84700443249E}">
      <formula1>INDIRECT("TabVendorAndBrand[BRAND]")</formula1>
    </dataValidation>
    <dataValidation type="list" allowBlank="1" showInputMessage="1" showErrorMessage="1" sqref="O2:O10" xr:uid="{1BDC6677-249E-4C18-9550-AA0F682C6511}">
      <formula1>INDIRECT("TabHandbookSupplier[COMPANY_LABEL]")</formula1>
    </dataValidation>
    <dataValidation type="list" allowBlank="1" showInputMessage="1" showErrorMessage="1" sqref="R2:R10" xr:uid="{24FC0FFE-BD01-4EA0-88A9-3D48E9DBD653}">
      <formula1>INDIRECT("TabHandbookUnit[UNITS]")</formula1>
    </dataValidation>
  </dataValidations>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788F-427C-4C8A-973B-3BED45D75508}">
  <dimension ref="A1:W10"/>
  <sheetViews>
    <sheetView workbookViewId="0">
      <pane ySplit="1" topLeftCell="A2" activePane="bottomLeft" state="frozen"/>
      <selection pane="bottomLeft" activeCell="A4" sqref="A4:XFD4"/>
    </sheetView>
  </sheetViews>
  <sheetFormatPr defaultRowHeight="14.4" x14ac:dyDescent="0.3"/>
  <cols>
    <col min="1" max="1" width="25.109375" style="33" customWidth="1"/>
    <col min="2" max="2" width="11.33203125" style="7" customWidth="1"/>
    <col min="3" max="3" width="11.77734375" style="7" hidden="1" customWidth="1"/>
    <col min="4" max="4" width="25.109375" style="33" customWidth="1"/>
    <col min="5" max="5" width="37" style="17" hidden="1" customWidth="1"/>
    <col min="6" max="6" width="35.77734375" customWidth="1"/>
    <col min="7" max="7" width="15.6640625" customWidth="1"/>
    <col min="8" max="8" width="12.88671875" customWidth="1"/>
    <col min="9" max="9" width="15.33203125" customWidth="1"/>
    <col min="10" max="10" width="10.88671875" customWidth="1"/>
    <col min="11" max="11" width="15.5546875" customWidth="1"/>
    <col min="12" max="12" width="11.33203125" customWidth="1"/>
    <col min="13" max="13" width="16" customWidth="1"/>
    <col min="14" max="14" width="14.33203125" customWidth="1"/>
    <col min="15" max="18" width="15.77734375" customWidth="1"/>
    <col min="19" max="19" width="15.88671875" customWidth="1"/>
    <col min="20" max="22" width="17.5546875" bestFit="1" customWidth="1"/>
    <col min="23" max="23" width="35.88671875" customWidth="1"/>
  </cols>
  <sheetData>
    <row r="1" spans="1:23" ht="43.8" thickBot="1" x14ac:dyDescent="0.35">
      <c r="A1" s="11" t="s">
        <v>5</v>
      </c>
      <c r="B1" s="11" t="s">
        <v>8</v>
      </c>
      <c r="C1" s="11" t="s">
        <v>57</v>
      </c>
      <c r="D1" s="11" t="s">
        <v>11</v>
      </c>
      <c r="E1" s="47" t="s">
        <v>10</v>
      </c>
      <c r="F1" s="12" t="s">
        <v>10</v>
      </c>
      <c r="G1" s="12" t="s">
        <v>58</v>
      </c>
      <c r="H1" s="12" t="s">
        <v>59</v>
      </c>
      <c r="I1" s="13" t="s">
        <v>60</v>
      </c>
      <c r="J1" s="12" t="s">
        <v>61</v>
      </c>
      <c r="K1" s="12" t="s">
        <v>62</v>
      </c>
      <c r="L1" s="12" t="s">
        <v>63</v>
      </c>
      <c r="M1" s="12" t="s">
        <v>478</v>
      </c>
      <c r="N1" s="12" t="s">
        <v>64</v>
      </c>
      <c r="O1" s="12" t="s">
        <v>479</v>
      </c>
      <c r="P1" s="12" t="s">
        <v>480</v>
      </c>
      <c r="Q1" s="12" t="s">
        <v>65</v>
      </c>
      <c r="R1" s="12" t="s">
        <v>481</v>
      </c>
      <c r="S1" s="12" t="s">
        <v>482</v>
      </c>
      <c r="T1" s="12" t="s">
        <v>66</v>
      </c>
      <c r="U1" s="12" t="s">
        <v>67</v>
      </c>
      <c r="V1" s="12" t="s">
        <v>68</v>
      </c>
      <c r="W1" s="12" t="s">
        <v>69</v>
      </c>
    </row>
    <row r="2" spans="1:23" ht="43.2" x14ac:dyDescent="0.3">
      <c r="A2" s="33" t="str" cm="1">
        <f t="array" ref="A2:E10">_xlfn.CHOOSECOLS(TabSpecificationWork_1[],6,9,5,12,11)</f>
        <v>Инжиниринг проектный - КР</v>
      </c>
      <c r="B2" s="7" t="str">
        <v>1.1</v>
      </c>
      <c r="C2" s="7">
        <v>1</v>
      </c>
      <c r="D2" s="33" t="str">
        <v>Проектирование модуля размещения электронных компонентов ПТК</v>
      </c>
      <c r="E2" s="17" t="str">
        <v>8/2026-n1-горизонт-ver_1-set_1.1-true</v>
      </c>
      <c r="F2" s="16" t="str">
        <f>E2</f>
        <v>8/2026-n1-горизонт-ver_1-set_1.1-true</v>
      </c>
      <c r="G2" s="69">
        <v>3</v>
      </c>
      <c r="H2" s="70">
        <f>TabSpecificationWork_2[[#This Row],[COEFFICIENT MARKUP]]*TabSpecificationWork_1[[#This Row],[PRICE UNIT $PURCHASE]]</f>
        <v>234000</v>
      </c>
      <c r="I2" s="71">
        <f>TabSpecificationWork_1[[#This Row],[QUANTITY TOTAL]]*TabSpecificationWork_2[[#This Row],[PRICE UNIT $SALE]]</f>
        <v>234000</v>
      </c>
      <c r="J2" s="72">
        <v>0</v>
      </c>
      <c r="K2" s="96">
        <f>(TabSpecificationWork_2[[#This Row],[COST DEAL $SALE]]/100)*TabSpecificationWork_2[[#This Row],[DISCOUNT PERCENT]]</f>
        <v>0</v>
      </c>
      <c r="L2" s="73"/>
      <c r="M2" s="74">
        <f>_xlfn.LET(
    _xlpm.projNum, _xlfn.XLOOKUP(TabSpecificationWork_2[[#This Row],[HASH COLLECTION]], TabSpecificationWork_1[HASH COLLECTION], TabSpecificationWork_1[NUM PROJECT], ""),
    _xlpm.company, UPPER(TRIM(_xlfn.TEXTAFTER(_xlpm.projNum, "-", 2))),
    IF(_xlpm.company="ГОРИЗОНТ", 0.22, 0)
)</f>
        <v>0.22</v>
      </c>
      <c r="N2" s="75">
        <f>TabSpecificationWork_2[[#This Row],[PRICE UNIT $SALE]]</f>
        <v>234000</v>
      </c>
      <c r="O2" s="75">
        <f>TabSpecificationWork_2[[#This Row],[PRICE UNIT $TOTAL]] * TabSpecificationWork_2[[#This Row],[VAT RATE CONTRACTOR $TOTAL]]</f>
        <v>51480</v>
      </c>
      <c r="P2" s="75">
        <f>TabSpecificationWork_2[[#This Row],[PRICE UNIT $TOTAL]] + TabSpecificationWork_2[[#This Row],[VAT ADD PRICE UNIT $TOTAL]]</f>
        <v>285480</v>
      </c>
      <c r="Q2" s="76">
        <f>TabSpecificationWork_2[[#This Row],[COST DEAL $SALE]]-TabSpecificationWork_2[[#This Row],[DISCOUNT MONEY]]</f>
        <v>234000</v>
      </c>
      <c r="R2" s="77">
        <f>TabSpecificationWork_2[[#This Row],[COST $TOTAL]] * TabSpecificationWork_2[[#This Row],[VAT RATE CONTRACTOR $TOTAL]]</f>
        <v>51480</v>
      </c>
      <c r="S2" s="76">
        <f>TabSpecificationWork_2[[#This Row],[COST $TOTAL]] + TabSpecificationWork_2[[#This Row],[COST ADD VAT $TOTAL]]</f>
        <v>285480</v>
      </c>
      <c r="T2" s="78">
        <v>25</v>
      </c>
      <c r="U2" s="72" t="s">
        <v>29</v>
      </c>
      <c r="V2" s="72" t="s">
        <v>35</v>
      </c>
      <c r="W2" s="79"/>
    </row>
    <row r="3" spans="1:23" ht="28.8" x14ac:dyDescent="0.3">
      <c r="A3" s="33" t="str">
        <v>Инжиниринг проектный - КР</v>
      </c>
      <c r="B3" s="7" t="str">
        <v>1.2</v>
      </c>
      <c r="C3" s="7">
        <v>1</v>
      </c>
      <c r="D3" s="33" t="str">
        <v>Проектирование узла коммутации сети ~230 В</v>
      </c>
      <c r="E3" s="17" t="str">
        <v>8/2026-n1-горизонт-ver_1-set_1.2-true</v>
      </c>
      <c r="F3" s="16" t="str">
        <f t="shared" ref="F3:F10" si="0">E3</f>
        <v>8/2026-n1-горизонт-ver_1-set_1.2-true</v>
      </c>
      <c r="G3" s="80">
        <v>2.5</v>
      </c>
      <c r="H3" s="81">
        <f>TabSpecificationWork_2[[#This Row],[COEFFICIENT MARKUP]]*TabSpecificationWork_1[[#This Row],[PRICE UNIT $PURCHASE]]</f>
        <v>62500</v>
      </c>
      <c r="I3" s="81">
        <f>TabSpecificationWork_1[[#This Row],[QUANTITY TOTAL]]*TabSpecificationWork_2[[#This Row],[PRICE UNIT $SALE]]</f>
        <v>62500</v>
      </c>
      <c r="J3" s="82">
        <v>0</v>
      </c>
      <c r="K3" s="96">
        <f>(TabSpecificationWork_2[[#This Row],[COST DEAL $SALE]]/100)*TabSpecificationWork_2[[#This Row],[DISCOUNT PERCENT]]</f>
        <v>0</v>
      </c>
      <c r="L3" s="83"/>
      <c r="M3" s="84">
        <f>_xlfn.LET(
    _xlpm.projNum, _xlfn.XLOOKUP(TabSpecificationWork_2[[#This Row],[HASH COLLECTION]], TabSpecificationWork_1[HASH COLLECTION], TabSpecificationWork_1[NUM PROJECT], ""),
    _xlpm.company, UPPER(TRIM(_xlfn.TEXTAFTER(_xlpm.projNum, "-", 2))),
    IF(_xlpm.company="ГОРИЗОНТ", 0.22, 0)
)</f>
        <v>0.22</v>
      </c>
      <c r="N3" s="85">
        <f>TabSpecificationWork_2[[#This Row],[PRICE UNIT $SALE]]</f>
        <v>62500</v>
      </c>
      <c r="O3" s="85">
        <f>TabSpecificationWork_2[[#This Row],[PRICE UNIT $TOTAL]] * TabSpecificationWork_2[[#This Row],[VAT RATE CONTRACTOR $TOTAL]]</f>
        <v>13750</v>
      </c>
      <c r="P3" s="85">
        <f>TabSpecificationWork_2[[#This Row],[PRICE UNIT $TOTAL]] + TabSpecificationWork_2[[#This Row],[VAT ADD PRICE UNIT $TOTAL]]</f>
        <v>76250</v>
      </c>
      <c r="Q3" s="86">
        <f>TabSpecificationWork_2[[#This Row],[COST DEAL $SALE]]-TabSpecificationWork_2[[#This Row],[DISCOUNT MONEY]]</f>
        <v>62500</v>
      </c>
      <c r="R3" s="87">
        <f>TabSpecificationWork_2[[#This Row],[COST $TOTAL]] * TabSpecificationWork_2[[#This Row],[VAT RATE CONTRACTOR $TOTAL]]</f>
        <v>13750</v>
      </c>
      <c r="S3" s="86">
        <f>TabSpecificationWork_2[[#This Row],[COST $TOTAL]] + TabSpecificationWork_2[[#This Row],[COST ADD VAT $TOTAL]]</f>
        <v>76250</v>
      </c>
      <c r="T3" s="88">
        <v>10</v>
      </c>
      <c r="U3" s="72" t="s">
        <v>29</v>
      </c>
      <c r="V3" s="72" t="s">
        <v>35</v>
      </c>
      <c r="W3" s="89"/>
    </row>
    <row r="4" spans="1:23" ht="72" x14ac:dyDescent="0.3">
      <c r="A4" s="33" t="str">
        <v>Инжиниринг проектный - КР</v>
      </c>
      <c r="B4" s="7" t="str">
        <v>1.3</v>
      </c>
      <c r="C4" s="7">
        <v>1</v>
      </c>
      <c r="D4" s="33" t="str">
        <v>Проектирование интегрированного узла крепления LCD touch дисплея, хаба АСУ ВУ, RFID и QR считывателя</v>
      </c>
      <c r="E4" s="17" t="str">
        <v>8/2026-n1-горизонт-ver_1-set_1.3-true</v>
      </c>
      <c r="F4" s="16" t="str">
        <f t="shared" si="0"/>
        <v>8/2026-n1-горизонт-ver_1-set_1.3-true</v>
      </c>
      <c r="G4" s="80">
        <v>4.3</v>
      </c>
      <c r="H4" s="81">
        <f>TabSpecificationWork_2[[#This Row],[COEFFICIENT MARKUP]]*TabSpecificationWork_1[[#This Row],[PRICE UNIT $PURCHASE]]</f>
        <v>197800</v>
      </c>
      <c r="I4" s="81">
        <f>TabSpecificationWork_1[[#This Row],[QUANTITY TOTAL]]*TabSpecificationWork_2[[#This Row],[PRICE UNIT $SALE]]</f>
        <v>197800</v>
      </c>
      <c r="J4" s="82">
        <v>0</v>
      </c>
      <c r="K4" s="96">
        <f>(TabSpecificationWork_2[[#This Row],[COST DEAL $SALE]]/100)*TabSpecificationWork_2[[#This Row],[DISCOUNT PERCENT]]</f>
        <v>0</v>
      </c>
      <c r="L4" s="83"/>
      <c r="M4" s="84">
        <f>_xlfn.LET(
    _xlpm.projNum, _xlfn.XLOOKUP(TabSpecificationWork_2[[#This Row],[HASH COLLECTION]], TabSpecificationWork_1[HASH COLLECTION], TabSpecificationWork_1[NUM PROJECT], ""),
    _xlpm.company, UPPER(TRIM(_xlfn.TEXTAFTER(_xlpm.projNum, "-", 2))),
    IF(_xlpm.company="ГОРИЗОНТ", 0.22, 0)
)</f>
        <v>0.22</v>
      </c>
      <c r="N4" s="85">
        <f>TabSpecificationWork_2[[#This Row],[PRICE UNIT $SALE]]</f>
        <v>197800</v>
      </c>
      <c r="O4" s="85">
        <f>TabSpecificationWork_2[[#This Row],[PRICE UNIT $TOTAL]] * TabSpecificationWork_2[[#This Row],[VAT RATE CONTRACTOR $TOTAL]]</f>
        <v>43516</v>
      </c>
      <c r="P4" s="85">
        <f>TabSpecificationWork_2[[#This Row],[PRICE UNIT $TOTAL]] + TabSpecificationWork_2[[#This Row],[VAT ADD PRICE UNIT $TOTAL]]</f>
        <v>241316</v>
      </c>
      <c r="Q4" s="86">
        <f>TabSpecificationWork_2[[#This Row],[COST DEAL $SALE]]-TabSpecificationWork_2[[#This Row],[DISCOUNT MONEY]]</f>
        <v>197800</v>
      </c>
      <c r="R4" s="87">
        <f>TabSpecificationWork_2[[#This Row],[COST $TOTAL]] * TabSpecificationWork_2[[#This Row],[VAT RATE CONTRACTOR $TOTAL]]</f>
        <v>43516</v>
      </c>
      <c r="S4" s="86">
        <f>TabSpecificationWork_2[[#This Row],[COST $TOTAL]] + TabSpecificationWork_2[[#This Row],[COST ADD VAT $TOTAL]]</f>
        <v>241316</v>
      </c>
      <c r="T4" s="88">
        <v>20</v>
      </c>
      <c r="U4" s="72" t="s">
        <v>29</v>
      </c>
      <c r="V4" s="72" t="s">
        <v>35</v>
      </c>
      <c r="W4" s="89"/>
    </row>
    <row r="5" spans="1:23" ht="28.8" x14ac:dyDescent="0.3">
      <c r="A5" s="33" t="str">
        <v>Инжиниринг проектный - КР</v>
      </c>
      <c r="B5" s="7" t="str">
        <v>1.4</v>
      </c>
      <c r="C5" s="7">
        <v>1</v>
      </c>
      <c r="D5" s="33" t="str">
        <v>Разработка эскизов общего вида Изделия</v>
      </c>
      <c r="E5" s="17" t="str">
        <v>8/2026-n1-горизонт-ver_1-set_1.4-true</v>
      </c>
      <c r="F5" s="16" t="str">
        <f t="shared" si="0"/>
        <v>8/2026-n1-горизонт-ver_1-set_1.4-true</v>
      </c>
      <c r="G5" s="80">
        <v>5</v>
      </c>
      <c r="H5" s="81">
        <f>TabSpecificationWork_2[[#This Row],[COEFFICIENT MARKUP]]*TabSpecificationWork_1[[#This Row],[PRICE UNIT $PURCHASE]]</f>
        <v>250000</v>
      </c>
      <c r="I5" s="81">
        <f>TabSpecificationWork_1[[#This Row],[QUANTITY TOTAL]]*TabSpecificationWork_2[[#This Row],[PRICE UNIT $SALE]]</f>
        <v>250000</v>
      </c>
      <c r="J5" s="82">
        <v>0</v>
      </c>
      <c r="K5" s="96">
        <f>(TabSpecificationWork_2[[#This Row],[COST DEAL $SALE]]/100)*TabSpecificationWork_2[[#This Row],[DISCOUNT PERCENT]]</f>
        <v>0</v>
      </c>
      <c r="L5" s="91"/>
      <c r="M5" s="84">
        <f>_xlfn.LET(
    _xlpm.projNum, _xlfn.XLOOKUP(TabSpecificationWork_2[[#This Row],[HASH COLLECTION]], TabSpecificationWork_1[HASH COLLECTION], TabSpecificationWork_1[NUM PROJECT], ""),
    _xlpm.company, UPPER(TRIM(_xlfn.TEXTAFTER(_xlpm.projNum, "-", 2))),
    IF(_xlpm.company="ГОРИЗОНТ", 0.22, 0)
)</f>
        <v>0.22</v>
      </c>
      <c r="N5" s="90">
        <f>TabSpecificationWork_2[[#This Row],[PRICE UNIT $SALE]]</f>
        <v>250000</v>
      </c>
      <c r="O5" s="85">
        <f>TabSpecificationWork_2[[#This Row],[PRICE UNIT $TOTAL]] * TabSpecificationWork_2[[#This Row],[VAT RATE CONTRACTOR $TOTAL]]</f>
        <v>55000</v>
      </c>
      <c r="P5" s="85">
        <f>TabSpecificationWork_2[[#This Row],[PRICE UNIT $TOTAL]] + TabSpecificationWork_2[[#This Row],[VAT ADD PRICE UNIT $TOTAL]]</f>
        <v>305000</v>
      </c>
      <c r="Q5" s="86">
        <f>TabSpecificationWork_2[[#This Row],[COST DEAL $SALE]]-TabSpecificationWork_2[[#This Row],[DISCOUNT MONEY]]</f>
        <v>250000</v>
      </c>
      <c r="R5" s="87">
        <f>TabSpecificationWork_2[[#This Row],[COST $TOTAL]] * TabSpecificationWork_2[[#This Row],[VAT RATE CONTRACTOR $TOTAL]]</f>
        <v>55000</v>
      </c>
      <c r="S5" s="86">
        <f>TabSpecificationWork_2[[#This Row],[COST $TOTAL]] + TabSpecificationWork_2[[#This Row],[COST ADD VAT $TOTAL]]</f>
        <v>305000</v>
      </c>
      <c r="T5" s="88">
        <v>14</v>
      </c>
      <c r="U5" s="72" t="s">
        <v>29</v>
      </c>
      <c r="V5" s="72" t="s">
        <v>35</v>
      </c>
      <c r="W5" s="92"/>
    </row>
    <row r="6" spans="1:23" ht="28.8" x14ac:dyDescent="0.3">
      <c r="A6" s="33" t="str">
        <v>Инжиниринг проектный - КР</v>
      </c>
      <c r="B6" s="7" t="str">
        <v>1.5</v>
      </c>
      <c r="C6" s="7">
        <v>1</v>
      </c>
      <c r="D6" s="33" t="str">
        <v>Проектирование транспортировочной тары</v>
      </c>
      <c r="E6" s="17" t="str">
        <v>8/2026-n1-горизонт-ver_1-set_1.5-true</v>
      </c>
      <c r="F6" s="16" t="str">
        <f t="shared" si="0"/>
        <v>8/2026-n1-горизонт-ver_1-set_1.5-true</v>
      </c>
      <c r="G6" s="80">
        <v>6</v>
      </c>
      <c r="H6" s="81">
        <f>TabSpecificationWork_2[[#This Row],[COEFFICIENT MARKUP]]*TabSpecificationWork_1[[#This Row],[PRICE UNIT $PURCHASE]]</f>
        <v>300000</v>
      </c>
      <c r="I6" s="81">
        <f>TabSpecificationWork_1[[#This Row],[QUANTITY TOTAL]]*TabSpecificationWork_2[[#This Row],[PRICE UNIT $SALE]]</f>
        <v>300000</v>
      </c>
      <c r="J6" s="82">
        <v>0</v>
      </c>
      <c r="K6" s="96">
        <f>(TabSpecificationWork_2[[#This Row],[COST DEAL $SALE]]/100)*TabSpecificationWork_2[[#This Row],[DISCOUNT PERCENT]]</f>
        <v>0</v>
      </c>
      <c r="L6" s="91"/>
      <c r="M6" s="84">
        <f>_xlfn.LET(
    _xlpm.projNum, _xlfn.XLOOKUP(TabSpecificationWork_2[[#This Row],[HASH COLLECTION]], TabSpecificationWork_1[HASH COLLECTION], TabSpecificationWork_1[NUM PROJECT], ""),
    _xlpm.company, UPPER(TRIM(_xlfn.TEXTAFTER(_xlpm.projNum, "-", 2))),
    IF(_xlpm.company="ГОРИЗОНТ", 0.22, 0)
)</f>
        <v>0.22</v>
      </c>
      <c r="N6" s="90">
        <f>TabSpecificationWork_2[[#This Row],[PRICE UNIT $SALE]]</f>
        <v>300000</v>
      </c>
      <c r="O6" s="85">
        <f>TabSpecificationWork_2[[#This Row],[PRICE UNIT $TOTAL]] * TabSpecificationWork_2[[#This Row],[VAT RATE CONTRACTOR $TOTAL]]</f>
        <v>66000</v>
      </c>
      <c r="P6" s="85">
        <f>TabSpecificationWork_2[[#This Row],[PRICE UNIT $TOTAL]] + TabSpecificationWork_2[[#This Row],[VAT ADD PRICE UNIT $TOTAL]]</f>
        <v>366000</v>
      </c>
      <c r="Q6" s="86">
        <f>TabSpecificationWork_2[[#This Row],[COST DEAL $SALE]]-TabSpecificationWork_2[[#This Row],[DISCOUNT MONEY]]</f>
        <v>300000</v>
      </c>
      <c r="R6" s="87">
        <f>TabSpecificationWork_2[[#This Row],[COST $TOTAL]] * TabSpecificationWork_2[[#This Row],[VAT RATE CONTRACTOR $TOTAL]]</f>
        <v>66000</v>
      </c>
      <c r="S6" s="86">
        <f>TabSpecificationWork_2[[#This Row],[COST $TOTAL]] + TabSpecificationWork_2[[#This Row],[COST ADD VAT $TOTAL]]</f>
        <v>366000</v>
      </c>
      <c r="T6" s="88">
        <v>15</v>
      </c>
      <c r="U6" s="72" t="s">
        <v>29</v>
      </c>
      <c r="V6" s="72" t="s">
        <v>35</v>
      </c>
      <c r="W6" s="92"/>
    </row>
    <row r="7" spans="1:23" ht="86.4" hidden="1" x14ac:dyDescent="0.3">
      <c r="A7" s="33" t="str">
        <v>Инжиниринг проектный - КР</v>
      </c>
      <c r="B7" s="7" t="str">
        <v>2.1</v>
      </c>
      <c r="C7" s="7">
        <v>1</v>
      </c>
      <c r="D7" s="33" t="str">
        <v>Проектирование кронштейна и бокса  для внешнего размещения HMI - LCD touch дисплея, хаба АСУ ВУ, RFID и QR считывателя</v>
      </c>
      <c r="E7" s="17" t="str">
        <v>8/2026-n1-горизонт-ver_1-set_2.1-false</v>
      </c>
      <c r="F7" s="16" t="str">
        <f t="shared" si="0"/>
        <v>8/2026-n1-горизонт-ver_1-set_2.1-false</v>
      </c>
      <c r="G7" s="80">
        <v>3</v>
      </c>
      <c r="H7" s="81">
        <f>TabSpecificationWork_2[[#This Row],[COEFFICIENT MARKUP]]*TabSpecificationWork_1[[#This Row],[PRICE UNIT $PURCHASE]]</f>
        <v>300000</v>
      </c>
      <c r="I7" s="81">
        <f>TabSpecificationWork_1[[#This Row],[QUANTITY TOTAL]]*TabSpecificationWork_2[[#This Row],[PRICE UNIT $SALE]]</f>
        <v>300000</v>
      </c>
      <c r="J7" s="82">
        <v>0</v>
      </c>
      <c r="K7" s="90">
        <f>(TabSpecificationWork_2[[#This Row],[COST DEAL $SALE]]/100)*TabSpecificationWork_2[[#This Row],[DISCOUNT PERCENT]]</f>
        <v>0</v>
      </c>
      <c r="L7" s="91"/>
      <c r="M7" s="84">
        <f>_xlfn.LET(
    _xlpm.projNum, _xlfn.XLOOKUP(TabSpecificationWork_2[[#This Row],[HASH COLLECTION]], TabSpecificationWork_1[HASH COLLECTION], TabSpecificationWork_1[NUM PROJECT], ""),
    _xlpm.company, UPPER(TRIM(_xlfn.TEXTAFTER(_xlpm.projNum, "-", 2))),
    IF(_xlpm.company="ГОРИЗОНТ", 0.22, 0)
)</f>
        <v>0.22</v>
      </c>
      <c r="N7" s="90">
        <f>TabSpecificationWork_2[[#This Row],[PRICE UNIT $SALE]]</f>
        <v>300000</v>
      </c>
      <c r="O7" s="85">
        <f>TabSpecificationWork_2[[#This Row],[PRICE UNIT $TOTAL]] * TabSpecificationWork_2[[#This Row],[VAT RATE CONTRACTOR $TOTAL]]</f>
        <v>66000</v>
      </c>
      <c r="P7" s="85">
        <f>TabSpecificationWork_2[[#This Row],[PRICE UNIT $TOTAL]] + TabSpecificationWork_2[[#This Row],[VAT ADD PRICE UNIT $TOTAL]]</f>
        <v>366000</v>
      </c>
      <c r="Q7" s="86">
        <f>TabSpecificationWork_2[[#This Row],[COST DEAL $SALE]]-TabSpecificationWork_2[[#This Row],[DISCOUNT MONEY]]</f>
        <v>300000</v>
      </c>
      <c r="R7" s="87">
        <f>TabSpecificationWork_2[[#This Row],[COST $TOTAL]] * TabSpecificationWork_2[[#This Row],[VAT RATE CONTRACTOR $TOTAL]]</f>
        <v>66000</v>
      </c>
      <c r="S7" s="86">
        <f>TabSpecificationWork_2[[#This Row],[COST $TOTAL]] + TabSpecificationWork_2[[#This Row],[COST ADD VAT $TOTAL]]</f>
        <v>366000</v>
      </c>
      <c r="T7" s="88">
        <v>45</v>
      </c>
      <c r="U7" s="72" t="s">
        <v>29</v>
      </c>
      <c r="V7" s="72" t="s">
        <v>35</v>
      </c>
      <c r="W7" s="92"/>
    </row>
    <row r="8" spans="1:23" ht="72" x14ac:dyDescent="0.3">
      <c r="A8" s="33" t="str">
        <v>Инжиниринг проектный - КР</v>
      </c>
      <c r="B8" s="7" t="str">
        <v>1.6</v>
      </c>
      <c r="C8" s="7">
        <v>1</v>
      </c>
      <c r="D8" s="33" t="str">
        <v>Проведение конструкторской и технологической оценки переноса (изменение) точек крепления колес</v>
      </c>
      <c r="E8" s="17" t="str">
        <v>8/2026-n1-горизонт-ver_1-set_1.6-true</v>
      </c>
      <c r="F8" s="16" t="str">
        <f t="shared" si="0"/>
        <v>8/2026-n1-горизонт-ver_1-set_1.6-true</v>
      </c>
      <c r="G8" s="80">
        <v>2.5</v>
      </c>
      <c r="H8" s="81">
        <f>TabSpecificationWork_2[[#This Row],[COEFFICIENT MARKUP]]*TabSpecificationWork_1[[#This Row],[PRICE UNIT $PURCHASE]]</f>
        <v>62500</v>
      </c>
      <c r="I8" s="81">
        <f>TabSpecificationWork_1[[#This Row],[QUANTITY TOTAL]]*TabSpecificationWork_2[[#This Row],[PRICE UNIT $SALE]]</f>
        <v>62500</v>
      </c>
      <c r="J8" s="82">
        <v>0</v>
      </c>
      <c r="K8" s="96">
        <f>(TabSpecificationWork_2[[#This Row],[COST DEAL $SALE]]/100)*TabSpecificationWork_2[[#This Row],[DISCOUNT PERCENT]]</f>
        <v>0</v>
      </c>
      <c r="L8" s="91"/>
      <c r="M8" s="84">
        <f>_xlfn.LET(
    _xlpm.projNum, _xlfn.XLOOKUP(TabSpecificationWork_2[[#This Row],[HASH COLLECTION]], TabSpecificationWork_1[HASH COLLECTION], TabSpecificationWork_1[NUM PROJECT], ""),
    _xlpm.company, UPPER(TRIM(_xlfn.TEXTAFTER(_xlpm.projNum, "-", 2))),
    IF(_xlpm.company="ГОРИЗОНТ", 0.22, 0)
)</f>
        <v>0.22</v>
      </c>
      <c r="N8" s="90">
        <f>TabSpecificationWork_2[[#This Row],[PRICE UNIT $SALE]]</f>
        <v>62500</v>
      </c>
      <c r="O8" s="85">
        <f>TabSpecificationWork_2[[#This Row],[PRICE UNIT $TOTAL]] * TabSpecificationWork_2[[#This Row],[VAT RATE CONTRACTOR $TOTAL]]</f>
        <v>13750</v>
      </c>
      <c r="P8" s="85">
        <f>TabSpecificationWork_2[[#This Row],[PRICE UNIT $TOTAL]] + TabSpecificationWork_2[[#This Row],[VAT ADD PRICE UNIT $TOTAL]]</f>
        <v>76250</v>
      </c>
      <c r="Q8" s="86">
        <f>TabSpecificationWork_2[[#This Row],[COST DEAL $SALE]]-TabSpecificationWork_2[[#This Row],[DISCOUNT MONEY]]</f>
        <v>62500</v>
      </c>
      <c r="R8" s="87">
        <f>TabSpecificationWork_2[[#This Row],[COST $TOTAL]] * TabSpecificationWork_2[[#This Row],[VAT RATE CONTRACTOR $TOTAL]]</f>
        <v>13750</v>
      </c>
      <c r="S8" s="86">
        <f>TabSpecificationWork_2[[#This Row],[COST $TOTAL]] + TabSpecificationWork_2[[#This Row],[COST ADD VAT $TOTAL]]</f>
        <v>76250</v>
      </c>
      <c r="T8" s="88">
        <v>12</v>
      </c>
      <c r="U8" s="72" t="s">
        <v>29</v>
      </c>
      <c r="V8" s="72" t="s">
        <v>35</v>
      </c>
      <c r="W8" s="92"/>
    </row>
    <row r="9" spans="1:23" ht="43.2" x14ac:dyDescent="0.3">
      <c r="A9" s="33" t="str">
        <v>Инжиниринг проектный - КР</v>
      </c>
      <c r="B9" s="7" t="str">
        <v>1.7</v>
      </c>
      <c r="C9" s="7">
        <v>1</v>
      </c>
      <c r="D9" s="33" t="str">
        <v>Проектирование кронштейна  камер видеонаблюдения</v>
      </c>
      <c r="E9" s="17" t="str">
        <v>8/2026-n1-горизонт-ver_1-set_1.7-true</v>
      </c>
      <c r="F9" s="16" t="str">
        <f t="shared" si="0"/>
        <v>8/2026-n1-горизонт-ver_1-set_1.7-true</v>
      </c>
      <c r="G9" s="80">
        <v>3</v>
      </c>
      <c r="H9" s="81">
        <f>TabSpecificationWork_2[[#This Row],[COEFFICIENT MARKUP]]*TabSpecificationWork_1[[#This Row],[PRICE UNIT $PURCHASE]]</f>
        <v>75000</v>
      </c>
      <c r="I9" s="81">
        <f>TabSpecificationWork_1[[#This Row],[QUANTITY TOTAL]]*TabSpecificationWork_2[[#This Row],[PRICE UNIT $SALE]]</f>
        <v>75000</v>
      </c>
      <c r="J9" s="82">
        <v>0</v>
      </c>
      <c r="K9" s="96">
        <f>(TabSpecificationWork_2[[#This Row],[COST DEAL $SALE]]/100)*TabSpecificationWork_2[[#This Row],[DISCOUNT PERCENT]]</f>
        <v>0</v>
      </c>
      <c r="L9" s="91"/>
      <c r="M9" s="84">
        <f>_xlfn.LET(
    _xlpm.projNum, _xlfn.XLOOKUP(TabSpecificationWork_2[[#This Row],[HASH COLLECTION]], TabSpecificationWork_1[HASH COLLECTION], TabSpecificationWork_1[NUM PROJECT], ""),
    _xlpm.company, UPPER(TRIM(_xlfn.TEXTAFTER(_xlpm.projNum, "-", 2))),
    IF(_xlpm.company="ГОРИЗОНТ", 0.22, 0)
)</f>
        <v>0.22</v>
      </c>
      <c r="N9" s="90">
        <f>TabSpecificationWork_2[[#This Row],[PRICE UNIT $SALE]]</f>
        <v>75000</v>
      </c>
      <c r="O9" s="85">
        <f>TabSpecificationWork_2[[#This Row],[PRICE UNIT $TOTAL]] * TabSpecificationWork_2[[#This Row],[VAT RATE CONTRACTOR $TOTAL]]</f>
        <v>16500</v>
      </c>
      <c r="P9" s="85">
        <f>TabSpecificationWork_2[[#This Row],[PRICE UNIT $TOTAL]] + TabSpecificationWork_2[[#This Row],[VAT ADD PRICE UNIT $TOTAL]]</f>
        <v>91500</v>
      </c>
      <c r="Q9" s="86">
        <f>TabSpecificationWork_2[[#This Row],[COST DEAL $SALE]]-TabSpecificationWork_2[[#This Row],[DISCOUNT MONEY]]</f>
        <v>75000</v>
      </c>
      <c r="R9" s="87">
        <f>TabSpecificationWork_2[[#This Row],[COST $TOTAL]] * TabSpecificationWork_2[[#This Row],[VAT RATE CONTRACTOR $TOTAL]]</f>
        <v>16500</v>
      </c>
      <c r="S9" s="86">
        <f>TabSpecificationWork_2[[#This Row],[COST $TOTAL]] + TabSpecificationWork_2[[#This Row],[COST ADD VAT $TOTAL]]</f>
        <v>91500</v>
      </c>
      <c r="T9" s="88">
        <v>12</v>
      </c>
      <c r="U9" s="72" t="s">
        <v>29</v>
      </c>
      <c r="V9" s="72" t="s">
        <v>35</v>
      </c>
      <c r="W9" s="92"/>
    </row>
    <row r="10" spans="1:23" ht="43.2" hidden="1" x14ac:dyDescent="0.3">
      <c r="A10" s="33" t="str">
        <v>Инжиниринг проектный - КР</v>
      </c>
      <c r="B10" s="7" t="str">
        <v>4.1</v>
      </c>
      <c r="C10" s="7">
        <v>1</v>
      </c>
      <c r="D10" s="33" t="str">
        <v>Проектирование двери спиральной секции т 2-х приемников ТМЦ</v>
      </c>
      <c r="E10" s="17" t="str">
        <v>8/2026-n1-горизонт-ver_1-set_4.1-false</v>
      </c>
      <c r="F10" s="16" t="str">
        <f t="shared" si="0"/>
        <v>8/2026-n1-горизонт-ver_1-set_4.1-false</v>
      </c>
      <c r="G10" s="80">
        <v>1</v>
      </c>
      <c r="H10" s="81">
        <f>TabSpecificationWork_2[[#This Row],[COEFFICIENT MARKUP]]*TabSpecificationWork_1[[#This Row],[PRICE UNIT $PURCHASE]]</f>
        <v>100000</v>
      </c>
      <c r="I10" s="81">
        <f>TabSpecificationWork_1[[#This Row],[QUANTITY TOTAL]]*TabSpecificationWork_2[[#This Row],[PRICE UNIT $SALE]]</f>
        <v>100000</v>
      </c>
      <c r="J10" s="82">
        <v>0</v>
      </c>
      <c r="K10" s="90">
        <f>(TabSpecificationWork_2[[#This Row],[COST DEAL $SALE]]/100)*TabSpecificationWork_2[[#This Row],[DISCOUNT PERCENT]]</f>
        <v>0</v>
      </c>
      <c r="L10" s="91"/>
      <c r="M10" s="84">
        <f>_xlfn.LET(
    _xlpm.projNum, _xlfn.XLOOKUP(TabSpecificationWork_2[[#This Row],[HASH COLLECTION]], TabSpecificationWork_1[HASH COLLECTION], TabSpecificationWork_1[NUM PROJECT], ""),
    _xlpm.company, UPPER(TRIM(_xlfn.TEXTAFTER(_xlpm.projNum, "-", 2))),
    IF(_xlpm.company="ГОРИЗОНТ", 0.22, 0)
)</f>
        <v>0.22</v>
      </c>
      <c r="N10" s="90">
        <f>TabSpecificationWork_2[[#This Row],[PRICE UNIT $SALE]]</f>
        <v>100000</v>
      </c>
      <c r="O10" s="85">
        <f>TabSpecificationWork_2[[#This Row],[PRICE UNIT $TOTAL]] * TabSpecificationWork_2[[#This Row],[VAT RATE CONTRACTOR $TOTAL]]</f>
        <v>22000</v>
      </c>
      <c r="P10" s="85">
        <f>TabSpecificationWork_2[[#This Row],[PRICE UNIT $TOTAL]] + TabSpecificationWork_2[[#This Row],[VAT ADD PRICE UNIT $TOTAL]]</f>
        <v>122000</v>
      </c>
      <c r="Q10" s="86">
        <f>TabSpecificationWork_2[[#This Row],[COST DEAL $SALE]]-TabSpecificationWork_2[[#This Row],[DISCOUNT MONEY]]</f>
        <v>100000</v>
      </c>
      <c r="R10" s="87">
        <f>TabSpecificationWork_2[[#This Row],[COST $TOTAL]] * TabSpecificationWork_2[[#This Row],[VAT RATE CONTRACTOR $TOTAL]]</f>
        <v>22000</v>
      </c>
      <c r="S10" s="86">
        <f>TabSpecificationWork_2[[#This Row],[COST $TOTAL]] + TabSpecificationWork_2[[#This Row],[COST ADD VAT $TOTAL]]</f>
        <v>122000</v>
      </c>
      <c r="T10" s="88">
        <v>45</v>
      </c>
      <c r="U10" s="72" t="s">
        <v>29</v>
      </c>
      <c r="V10" s="72" t="s">
        <v>35</v>
      </c>
      <c r="W10" s="92"/>
    </row>
  </sheetData>
  <protectedRanges>
    <protectedRange algorithmName="SHA-512" hashValue="ClrlULK2rSOnWAW8ESQdR0iexPhR1fvgw1b4VdzkI7+WxUstHdimQPQmGWzIrHMbKjcmExZVhYnBnmivRBHq/A==" saltValue="HinO+kCkV4wHuu0/nS5IsQ==" spinCount="100000" sqref="A1:D1048576" name="SpecificationWork_1_segment" securityDescriptor="O:WDG:WDD:(A;;CC;;;S-1-5-21-1937151985-3284409454-3114792232-1001)"/>
  </protectedRanges>
  <autoFilter ref="A1:D10" xr:uid="{8BE1788F-427C-4C8A-973B-3BED45D75508}"/>
  <phoneticPr fontId="19" type="noConversion"/>
  <conditionalFormatting sqref="F2:F10 H2:I999">
    <cfRule type="notContainsBlanks" dxfId="10" priority="12">
      <formula>LEN(TRIM(F2))&gt;0</formula>
    </cfRule>
  </conditionalFormatting>
  <conditionalFormatting sqref="K2:K10">
    <cfRule type="notContainsBlanks" dxfId="9" priority="9">
      <formula>LEN(TRIM(K2))&gt;0</formula>
    </cfRule>
  </conditionalFormatting>
  <conditionalFormatting sqref="M2:M10">
    <cfRule type="notContainsBlanks" dxfId="8" priority="7">
      <formula>LEN(TRIM(M2))&gt;0</formula>
    </cfRule>
  </conditionalFormatting>
  <conditionalFormatting sqref="Q2:Q10">
    <cfRule type="notContainsBlanks" dxfId="7" priority="13">
      <formula>LEN(TRIM(Q2))&gt;0</formula>
    </cfRule>
  </conditionalFormatting>
  <conditionalFormatting sqref="V2:V10">
    <cfRule type="expression" dxfId="6" priority="6">
      <formula>IF($V2="true",1,0)</formula>
    </cfRule>
  </conditionalFormatting>
  <dataValidations count="2">
    <dataValidation type="list" showInputMessage="1" showErrorMessage="1" sqref="V2:V10" xr:uid="{0140C6BC-EE55-4B04-856D-84DE8E6BB8E2}">
      <formula1>"false,true,"</formula1>
    </dataValidation>
    <dataValidation type="list" showInputMessage="1" showErrorMessage="1" sqref="U2:U10" xr:uid="{AE30E414-4F03-4AC9-8B9A-9DAE797387C1}">
      <formula1>"true,false,"</formula1>
    </dataValidation>
  </dataValidations>
  <pageMargins left="0.7" right="0.7" top="0.75" bottom="0.75" header="0.3" footer="0.3"/>
  <pageSetup orientation="portrait" r:id="rId1"/>
  <legacy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9826D-28F8-4FB6-8314-898C0153C1C4}">
  <dimension ref="A1:AU17"/>
  <sheetViews>
    <sheetView zoomScale="85" zoomScaleNormal="85" workbookViewId="0">
      <pane ySplit="1" topLeftCell="A2" activePane="bottomLeft" state="frozen"/>
      <selection pane="bottomLeft" activeCell="E4" sqref="E4"/>
    </sheetView>
  </sheetViews>
  <sheetFormatPr defaultRowHeight="14.4" x14ac:dyDescent="0.3"/>
  <cols>
    <col min="1" max="1" width="12" bestFit="1" customWidth="1"/>
    <col min="2" max="2" width="13.88671875" bestFit="1" customWidth="1"/>
    <col min="3" max="3" width="20.33203125" bestFit="1" customWidth="1"/>
    <col min="4" max="4" width="17.33203125" bestFit="1" customWidth="1"/>
    <col min="5" max="5" width="21" bestFit="1" customWidth="1"/>
    <col min="6" max="6" width="27.21875" bestFit="1" customWidth="1"/>
    <col min="7" max="7" width="10.5546875" bestFit="1" customWidth="1"/>
    <col min="8" max="8" width="24.5546875" bestFit="1" customWidth="1"/>
    <col min="9" max="9" width="19.109375" bestFit="1" customWidth="1"/>
    <col min="10" max="10" width="15" bestFit="1" customWidth="1"/>
    <col min="11" max="11" width="36.21875" bestFit="1" customWidth="1"/>
    <col min="12" max="12" width="80.88671875" bestFit="1" customWidth="1"/>
    <col min="13" max="13" width="67.5546875" bestFit="1" customWidth="1"/>
    <col min="14" max="14" width="12.5546875" bestFit="1" customWidth="1"/>
    <col min="15" max="15" width="14.44140625" bestFit="1" customWidth="1"/>
    <col min="16" max="16" width="22.21875" bestFit="1" customWidth="1"/>
    <col min="17" max="17" width="22.77734375" bestFit="1" customWidth="1"/>
    <col min="18" max="18" width="11.44140625" bestFit="1" customWidth="1"/>
    <col min="19" max="19" width="19.109375" bestFit="1" customWidth="1"/>
    <col min="20" max="20" width="27.44140625" bestFit="1" customWidth="1"/>
    <col min="21" max="21" width="21.6640625" bestFit="1" customWidth="1"/>
    <col min="22" max="22" width="24.44140625" bestFit="1" customWidth="1"/>
    <col min="23" max="23" width="27.21875" bestFit="1" customWidth="1"/>
    <col min="24" max="24" width="28.33203125" bestFit="1" customWidth="1"/>
    <col min="25" max="25" width="27.5546875" bestFit="1" customWidth="1"/>
    <col min="26" max="26" width="29.109375" bestFit="1" customWidth="1"/>
    <col min="27" max="27" width="17" bestFit="1" customWidth="1"/>
    <col min="28" max="28" width="41.77734375" bestFit="1" customWidth="1"/>
    <col min="29" max="29" width="15.88671875" bestFit="1" customWidth="1"/>
    <col min="30" max="30" width="21.33203125" bestFit="1" customWidth="1"/>
    <col min="31" max="31" width="25.88671875" bestFit="1" customWidth="1"/>
    <col min="32" max="32" width="21.88671875" bestFit="1" customWidth="1"/>
    <col min="33" max="33" width="21.77734375" bestFit="1" customWidth="1"/>
    <col min="34" max="34" width="24" bestFit="1" customWidth="1"/>
    <col min="35" max="35" width="22.77734375" bestFit="1" customWidth="1"/>
    <col min="36" max="36" width="28.33203125" bestFit="1" customWidth="1"/>
    <col min="37" max="37" width="32.6640625" bestFit="1" customWidth="1"/>
    <col min="38" max="38" width="23.5546875" bestFit="1" customWidth="1"/>
    <col min="39" max="39" width="29.6640625" bestFit="1" customWidth="1"/>
    <col min="40" max="40" width="25.109375" bestFit="1" customWidth="1"/>
    <col min="41" max="41" width="18" bestFit="1" customWidth="1"/>
    <col min="42" max="42" width="24.109375" bestFit="1" customWidth="1"/>
    <col min="43" max="43" width="19.5546875" bestFit="1" customWidth="1"/>
    <col min="44" max="44" width="28.21875" bestFit="1" customWidth="1"/>
    <col min="45" max="45" width="15.88671875" bestFit="1" customWidth="1"/>
    <col min="46" max="46" width="18.77734375" bestFit="1" customWidth="1"/>
    <col min="47" max="47" width="26.5546875" bestFit="1" customWidth="1"/>
    <col min="48" max="48" width="81.109375" bestFit="1" customWidth="1"/>
  </cols>
  <sheetData>
    <row r="1" spans="1:47" s="14" customFormat="1" x14ac:dyDescent="0.3">
      <c r="A1" s="8"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14" t="s">
        <v>477</v>
      </c>
      <c r="Y1" s="8" t="s">
        <v>23</v>
      </c>
      <c r="Z1" s="14" t="s">
        <v>564</v>
      </c>
      <c r="AA1" s="8" t="s">
        <v>24</v>
      </c>
      <c r="AB1" s="8" t="s">
        <v>25</v>
      </c>
      <c r="AC1" s="14" t="s">
        <v>26</v>
      </c>
      <c r="AD1" s="8" t="s">
        <v>27</v>
      </c>
      <c r="AE1" s="8" t="s">
        <v>58</v>
      </c>
      <c r="AF1" s="8" t="s">
        <v>59</v>
      </c>
      <c r="AG1" s="8" t="s">
        <v>60</v>
      </c>
      <c r="AH1" s="8" t="s">
        <v>61</v>
      </c>
      <c r="AI1" s="8" t="s">
        <v>62</v>
      </c>
      <c r="AJ1" s="8" t="s">
        <v>63</v>
      </c>
      <c r="AK1" s="14" t="s">
        <v>478</v>
      </c>
      <c r="AL1" s="8" t="s">
        <v>64</v>
      </c>
      <c r="AM1" s="14" t="s">
        <v>479</v>
      </c>
      <c r="AN1" s="14" t="s">
        <v>480</v>
      </c>
      <c r="AO1" s="8" t="s">
        <v>65</v>
      </c>
      <c r="AP1" s="14" t="s">
        <v>481</v>
      </c>
      <c r="AQ1" s="14" t="s">
        <v>482</v>
      </c>
      <c r="AR1" s="8" t="s">
        <v>66</v>
      </c>
      <c r="AS1" s="8" t="s">
        <v>67</v>
      </c>
      <c r="AT1" s="8" t="s">
        <v>68</v>
      </c>
      <c r="AU1" s="8" t="s">
        <v>69</v>
      </c>
    </row>
    <row r="2" spans="1:47" ht="144" x14ac:dyDescent="0.3">
      <c r="A2" s="49" t="s">
        <v>497</v>
      </c>
      <c r="B2" s="49" t="s">
        <v>498</v>
      </c>
      <c r="C2" s="49" t="s">
        <v>499</v>
      </c>
      <c r="D2" s="49" t="s">
        <v>497</v>
      </c>
      <c r="E2" s="49">
        <v>1</v>
      </c>
      <c r="F2" s="50" t="s">
        <v>500</v>
      </c>
      <c r="G2" s="49">
        <v>1</v>
      </c>
      <c r="H2" s="49">
        <v>1</v>
      </c>
      <c r="I2" s="49" t="s">
        <v>75</v>
      </c>
      <c r="J2" s="49" t="s">
        <v>29</v>
      </c>
      <c r="K2" s="49" t="s">
        <v>570</v>
      </c>
      <c r="L2" s="50" t="s">
        <v>501</v>
      </c>
      <c r="M2" s="50" t="s">
        <v>569</v>
      </c>
      <c r="N2" s="49" t="s">
        <v>274</v>
      </c>
      <c r="O2" s="49" t="s">
        <v>274</v>
      </c>
      <c r="P2" s="51" t="s">
        <v>588</v>
      </c>
      <c r="Q2" s="49" t="s">
        <v>588</v>
      </c>
      <c r="R2" s="49" t="s">
        <v>33</v>
      </c>
      <c r="S2" s="49">
        <v>1</v>
      </c>
      <c r="T2" s="49">
        <v>1</v>
      </c>
      <c r="U2" s="49">
        <v>1</v>
      </c>
      <c r="V2" s="49">
        <v>1</v>
      </c>
      <c r="W2" s="52">
        <v>78000</v>
      </c>
      <c r="X2" s="95">
        <v>0</v>
      </c>
      <c r="Y2" s="52">
        <v>78000</v>
      </c>
      <c r="Z2" s="95">
        <v>78000</v>
      </c>
      <c r="AA2" s="53" t="s">
        <v>498</v>
      </c>
      <c r="AB2" s="50" t="s">
        <v>589</v>
      </c>
      <c r="AC2" t="s">
        <v>498</v>
      </c>
      <c r="AD2" s="53" t="s">
        <v>498</v>
      </c>
      <c r="AE2" s="54">
        <v>3</v>
      </c>
      <c r="AF2" s="52">
        <v>234000</v>
      </c>
      <c r="AG2" s="52">
        <v>234000</v>
      </c>
      <c r="AH2" s="53">
        <v>0</v>
      </c>
      <c r="AI2" s="53">
        <v>0</v>
      </c>
      <c r="AJ2" s="53"/>
      <c r="AK2">
        <v>0.22</v>
      </c>
      <c r="AL2" s="52">
        <v>234000</v>
      </c>
      <c r="AM2" s="95">
        <v>51480</v>
      </c>
      <c r="AN2">
        <v>285480</v>
      </c>
      <c r="AO2" s="52">
        <v>234000</v>
      </c>
      <c r="AP2" s="95">
        <v>51480</v>
      </c>
      <c r="AQ2">
        <v>285480</v>
      </c>
      <c r="AR2" s="53">
        <v>25</v>
      </c>
      <c r="AS2" s="49" t="s">
        <v>29</v>
      </c>
      <c r="AT2" s="49" t="s">
        <v>35</v>
      </c>
      <c r="AU2" s="55"/>
    </row>
    <row r="3" spans="1:47" ht="187.2" x14ac:dyDescent="0.3">
      <c r="A3" s="15" t="s">
        <v>74</v>
      </c>
      <c r="B3" s="15" t="s">
        <v>498</v>
      </c>
      <c r="C3" s="15" t="s">
        <v>499</v>
      </c>
      <c r="D3" s="15" t="s">
        <v>497</v>
      </c>
      <c r="E3" s="15">
        <v>1</v>
      </c>
      <c r="F3" s="44" t="s">
        <v>500</v>
      </c>
      <c r="G3" s="15">
        <v>1</v>
      </c>
      <c r="H3" s="15">
        <v>2</v>
      </c>
      <c r="I3" s="15" t="s">
        <v>76</v>
      </c>
      <c r="J3" s="15" t="s">
        <v>29</v>
      </c>
      <c r="K3" s="15" t="s">
        <v>571</v>
      </c>
      <c r="L3" s="44" t="s">
        <v>502</v>
      </c>
      <c r="M3" s="44" t="s">
        <v>503</v>
      </c>
      <c r="N3" s="15" t="s">
        <v>274</v>
      </c>
      <c r="O3" s="15" t="s">
        <v>274</v>
      </c>
      <c r="P3" s="45" t="s">
        <v>588</v>
      </c>
      <c r="Q3" s="15" t="s">
        <v>588</v>
      </c>
      <c r="R3" s="15" t="s">
        <v>33</v>
      </c>
      <c r="S3" s="15">
        <v>1</v>
      </c>
      <c r="T3" s="15">
        <v>1</v>
      </c>
      <c r="U3" s="15">
        <v>1</v>
      </c>
      <c r="V3" s="15">
        <v>1</v>
      </c>
      <c r="W3" s="36">
        <v>25000</v>
      </c>
      <c r="X3" s="95">
        <v>0</v>
      </c>
      <c r="Y3" s="36">
        <v>25000</v>
      </c>
      <c r="Z3" s="95">
        <v>25000</v>
      </c>
      <c r="AA3" s="35" t="s">
        <v>498</v>
      </c>
      <c r="AB3" s="44" t="s">
        <v>589</v>
      </c>
      <c r="AC3" t="s">
        <v>498</v>
      </c>
      <c r="AD3" s="35" t="s">
        <v>498</v>
      </c>
      <c r="AE3" s="37">
        <v>2.5</v>
      </c>
      <c r="AF3" s="36">
        <v>62500</v>
      </c>
      <c r="AG3" s="36">
        <v>62500</v>
      </c>
      <c r="AH3" s="35">
        <v>0</v>
      </c>
      <c r="AI3" s="35">
        <v>0</v>
      </c>
      <c r="AJ3" s="35"/>
      <c r="AK3">
        <v>0.22</v>
      </c>
      <c r="AL3" s="36">
        <v>62500</v>
      </c>
      <c r="AM3" s="95">
        <v>13750</v>
      </c>
      <c r="AN3">
        <v>76250</v>
      </c>
      <c r="AO3" s="36">
        <v>62500</v>
      </c>
      <c r="AP3" s="95">
        <v>13750</v>
      </c>
      <c r="AQ3">
        <v>76250</v>
      </c>
      <c r="AR3" s="35">
        <v>10</v>
      </c>
      <c r="AS3" s="15" t="s">
        <v>29</v>
      </c>
      <c r="AT3" s="15" t="s">
        <v>35</v>
      </c>
      <c r="AU3" s="46"/>
    </row>
    <row r="4" spans="1:47" ht="216" x14ac:dyDescent="0.3">
      <c r="A4" s="15" t="s">
        <v>71</v>
      </c>
      <c r="B4" s="15" t="s">
        <v>498</v>
      </c>
      <c r="C4" s="15" t="s">
        <v>499</v>
      </c>
      <c r="D4" s="15" t="s">
        <v>497</v>
      </c>
      <c r="E4" s="15">
        <v>1</v>
      </c>
      <c r="F4" s="44" t="s">
        <v>500</v>
      </c>
      <c r="G4" s="15">
        <v>1</v>
      </c>
      <c r="H4" s="15">
        <v>3</v>
      </c>
      <c r="I4" s="15" t="s">
        <v>572</v>
      </c>
      <c r="J4" s="15" t="s">
        <v>29</v>
      </c>
      <c r="K4" s="15" t="s">
        <v>573</v>
      </c>
      <c r="L4" s="44" t="s">
        <v>504</v>
      </c>
      <c r="M4" s="44" t="s">
        <v>505</v>
      </c>
      <c r="N4" s="15" t="s">
        <v>274</v>
      </c>
      <c r="O4" s="15" t="s">
        <v>274</v>
      </c>
      <c r="P4" s="45" t="s">
        <v>588</v>
      </c>
      <c r="Q4" s="15" t="s">
        <v>588</v>
      </c>
      <c r="R4" s="15" t="s">
        <v>33</v>
      </c>
      <c r="S4" s="15">
        <v>1</v>
      </c>
      <c r="T4" s="15">
        <v>1</v>
      </c>
      <c r="U4" s="15">
        <v>1</v>
      </c>
      <c r="V4" s="15">
        <v>1</v>
      </c>
      <c r="W4" s="36">
        <v>46000</v>
      </c>
      <c r="X4" s="95">
        <v>0</v>
      </c>
      <c r="Y4" s="36">
        <v>46000</v>
      </c>
      <c r="Z4" s="95">
        <v>46000</v>
      </c>
      <c r="AA4" s="35" t="s">
        <v>498</v>
      </c>
      <c r="AB4" s="44" t="s">
        <v>589</v>
      </c>
      <c r="AC4" t="s">
        <v>498</v>
      </c>
      <c r="AD4" s="35"/>
      <c r="AE4" s="37">
        <v>4.3</v>
      </c>
      <c r="AF4" s="36">
        <v>197800</v>
      </c>
      <c r="AG4" s="36">
        <v>197800</v>
      </c>
      <c r="AH4" s="35">
        <v>0</v>
      </c>
      <c r="AI4" s="35">
        <v>0</v>
      </c>
      <c r="AJ4" s="35"/>
      <c r="AK4">
        <v>0.22</v>
      </c>
      <c r="AL4" s="36">
        <v>197800</v>
      </c>
      <c r="AM4" s="95">
        <v>43516</v>
      </c>
      <c r="AN4">
        <v>241316</v>
      </c>
      <c r="AO4" s="36">
        <v>197800</v>
      </c>
      <c r="AP4" s="95">
        <v>43516</v>
      </c>
      <c r="AQ4">
        <v>241316</v>
      </c>
      <c r="AR4" s="35">
        <v>20</v>
      </c>
      <c r="AS4" s="15" t="s">
        <v>29</v>
      </c>
      <c r="AT4" s="15" t="s">
        <v>35</v>
      </c>
      <c r="AU4" s="46"/>
    </row>
    <row r="5" spans="1:47" ht="129.6" x14ac:dyDescent="0.3">
      <c r="A5" s="15" t="s">
        <v>70</v>
      </c>
      <c r="B5" s="15" t="s">
        <v>498</v>
      </c>
      <c r="C5" s="15" t="s">
        <v>499</v>
      </c>
      <c r="D5" s="15" t="s">
        <v>497</v>
      </c>
      <c r="E5" s="15">
        <v>1</v>
      </c>
      <c r="F5" s="44" t="s">
        <v>500</v>
      </c>
      <c r="G5" s="15">
        <v>1</v>
      </c>
      <c r="H5" s="15">
        <v>4</v>
      </c>
      <c r="I5" s="15" t="s">
        <v>574</v>
      </c>
      <c r="J5" s="15" t="s">
        <v>29</v>
      </c>
      <c r="K5" s="15" t="s">
        <v>575</v>
      </c>
      <c r="L5" s="44" t="s">
        <v>506</v>
      </c>
      <c r="M5" s="44" t="s">
        <v>507</v>
      </c>
      <c r="N5" s="15" t="s">
        <v>274</v>
      </c>
      <c r="O5" s="15" t="s">
        <v>274</v>
      </c>
      <c r="P5" s="45" t="s">
        <v>588</v>
      </c>
      <c r="Q5" s="15" t="s">
        <v>588</v>
      </c>
      <c r="R5" s="15" t="s">
        <v>33</v>
      </c>
      <c r="S5" s="15">
        <v>1</v>
      </c>
      <c r="T5" s="15">
        <v>1</v>
      </c>
      <c r="U5" s="15">
        <v>1</v>
      </c>
      <c r="V5" s="15">
        <v>1</v>
      </c>
      <c r="W5" s="36">
        <v>50000</v>
      </c>
      <c r="X5" s="95">
        <v>0</v>
      </c>
      <c r="Y5" s="36">
        <v>50000</v>
      </c>
      <c r="Z5" s="95">
        <v>50000</v>
      </c>
      <c r="AA5" s="35" t="s">
        <v>498</v>
      </c>
      <c r="AB5" s="44" t="s">
        <v>589</v>
      </c>
      <c r="AC5" t="s">
        <v>498</v>
      </c>
      <c r="AD5" s="35"/>
      <c r="AE5" s="37">
        <v>5</v>
      </c>
      <c r="AF5" s="36">
        <v>250000</v>
      </c>
      <c r="AG5" s="36">
        <v>250000</v>
      </c>
      <c r="AH5" s="35">
        <v>0</v>
      </c>
      <c r="AI5" s="35">
        <v>0</v>
      </c>
      <c r="AJ5" s="35"/>
      <c r="AK5">
        <v>0.22</v>
      </c>
      <c r="AL5" s="36">
        <v>250000</v>
      </c>
      <c r="AM5" s="95">
        <v>55000</v>
      </c>
      <c r="AN5">
        <v>305000</v>
      </c>
      <c r="AO5" s="36">
        <v>250000</v>
      </c>
      <c r="AP5" s="95">
        <v>55000</v>
      </c>
      <c r="AQ5">
        <v>305000</v>
      </c>
      <c r="AR5" s="35">
        <v>14</v>
      </c>
      <c r="AS5" s="15" t="s">
        <v>29</v>
      </c>
      <c r="AT5" s="15" t="s">
        <v>35</v>
      </c>
      <c r="AU5" s="46"/>
    </row>
    <row r="6" spans="1:47" ht="158.4" x14ac:dyDescent="0.3">
      <c r="A6" s="15" t="s">
        <v>77</v>
      </c>
      <c r="B6" s="15" t="s">
        <v>498</v>
      </c>
      <c r="C6" s="15" t="s">
        <v>499</v>
      </c>
      <c r="D6" s="15" t="s">
        <v>497</v>
      </c>
      <c r="E6" s="15">
        <v>1</v>
      </c>
      <c r="F6" s="44" t="s">
        <v>500</v>
      </c>
      <c r="G6" s="15">
        <v>1</v>
      </c>
      <c r="H6" s="15">
        <v>5</v>
      </c>
      <c r="I6" s="15" t="s">
        <v>576</v>
      </c>
      <c r="J6" s="15" t="s">
        <v>29</v>
      </c>
      <c r="K6" s="15" t="s">
        <v>577</v>
      </c>
      <c r="L6" s="44" t="s">
        <v>508</v>
      </c>
      <c r="M6" s="44" t="s">
        <v>509</v>
      </c>
      <c r="N6" s="15" t="s">
        <v>274</v>
      </c>
      <c r="O6" s="15" t="s">
        <v>274</v>
      </c>
      <c r="P6" s="45" t="s">
        <v>588</v>
      </c>
      <c r="Q6" s="15" t="s">
        <v>588</v>
      </c>
      <c r="R6" s="15" t="s">
        <v>33</v>
      </c>
      <c r="S6" s="15">
        <v>1</v>
      </c>
      <c r="T6" s="15">
        <v>1</v>
      </c>
      <c r="U6" s="15">
        <v>1</v>
      </c>
      <c r="V6" s="15">
        <v>1</v>
      </c>
      <c r="W6" s="36">
        <v>50000</v>
      </c>
      <c r="X6" s="95">
        <v>0</v>
      </c>
      <c r="Y6" s="36">
        <v>50000</v>
      </c>
      <c r="Z6" s="95">
        <v>50000</v>
      </c>
      <c r="AA6" s="35" t="s">
        <v>498</v>
      </c>
      <c r="AB6" s="44" t="s">
        <v>589</v>
      </c>
      <c r="AC6" t="s">
        <v>498</v>
      </c>
      <c r="AD6" s="35"/>
      <c r="AE6" s="37">
        <v>6</v>
      </c>
      <c r="AF6" s="36">
        <v>300000</v>
      </c>
      <c r="AG6" s="36">
        <v>300000</v>
      </c>
      <c r="AH6" s="35">
        <v>0</v>
      </c>
      <c r="AI6" s="35">
        <v>0</v>
      </c>
      <c r="AJ6" s="35"/>
      <c r="AK6">
        <v>0.22</v>
      </c>
      <c r="AL6" s="36">
        <v>300000</v>
      </c>
      <c r="AM6" s="95">
        <v>66000</v>
      </c>
      <c r="AN6">
        <v>366000</v>
      </c>
      <c r="AO6" s="36">
        <v>300000</v>
      </c>
      <c r="AP6" s="95">
        <v>66000</v>
      </c>
      <c r="AQ6">
        <v>366000</v>
      </c>
      <c r="AR6" s="35">
        <v>15</v>
      </c>
      <c r="AS6" s="15" t="s">
        <v>29</v>
      </c>
      <c r="AT6" s="15" t="s">
        <v>35</v>
      </c>
      <c r="AU6" s="46"/>
    </row>
    <row r="7" spans="1:47" ht="187.2" x14ac:dyDescent="0.3">
      <c r="A7" s="15" t="s">
        <v>510</v>
      </c>
      <c r="B7" s="15" t="s">
        <v>498</v>
      </c>
      <c r="C7" s="15" t="s">
        <v>499</v>
      </c>
      <c r="D7" s="15" t="s">
        <v>497</v>
      </c>
      <c r="E7" s="15">
        <v>1</v>
      </c>
      <c r="F7" s="44" t="s">
        <v>500</v>
      </c>
      <c r="G7" s="15">
        <v>2</v>
      </c>
      <c r="H7" s="15">
        <v>1</v>
      </c>
      <c r="I7" s="15" t="s">
        <v>72</v>
      </c>
      <c r="J7" s="15" t="s">
        <v>35</v>
      </c>
      <c r="K7" s="15" t="s">
        <v>578</v>
      </c>
      <c r="L7" s="44" t="s">
        <v>511</v>
      </c>
      <c r="M7" s="44" t="s">
        <v>512</v>
      </c>
      <c r="N7" s="15" t="s">
        <v>274</v>
      </c>
      <c r="O7" s="15" t="s">
        <v>274</v>
      </c>
      <c r="P7" s="45" t="s">
        <v>588</v>
      </c>
      <c r="Q7" s="15" t="s">
        <v>588</v>
      </c>
      <c r="R7" s="15" t="s">
        <v>33</v>
      </c>
      <c r="S7" s="15">
        <v>1</v>
      </c>
      <c r="T7" s="15">
        <v>1</v>
      </c>
      <c r="U7" s="15">
        <v>1</v>
      </c>
      <c r="V7" s="15">
        <v>1</v>
      </c>
      <c r="W7" s="36">
        <v>100000</v>
      </c>
      <c r="X7" s="95">
        <v>0</v>
      </c>
      <c r="Y7" s="36">
        <v>100000</v>
      </c>
      <c r="Z7" s="95">
        <v>100000</v>
      </c>
      <c r="AA7" s="35" t="s">
        <v>498</v>
      </c>
      <c r="AB7" s="44" t="s">
        <v>589</v>
      </c>
      <c r="AC7" t="s">
        <v>498</v>
      </c>
      <c r="AD7" s="35"/>
      <c r="AE7" s="37">
        <v>3</v>
      </c>
      <c r="AF7" s="36">
        <v>300000</v>
      </c>
      <c r="AG7" s="36">
        <v>300000</v>
      </c>
      <c r="AH7" s="35">
        <v>0</v>
      </c>
      <c r="AI7" s="35">
        <v>0</v>
      </c>
      <c r="AJ7" s="35"/>
      <c r="AK7">
        <v>0.22</v>
      </c>
      <c r="AL7" s="36">
        <v>300000</v>
      </c>
      <c r="AM7" s="95">
        <v>66000</v>
      </c>
      <c r="AN7">
        <v>366000</v>
      </c>
      <c r="AO7" s="36">
        <v>300000</v>
      </c>
      <c r="AP7" s="95">
        <v>66000</v>
      </c>
      <c r="AQ7">
        <v>366000</v>
      </c>
      <c r="AR7" s="35">
        <v>45</v>
      </c>
      <c r="AS7" s="15" t="s">
        <v>29</v>
      </c>
      <c r="AT7" s="15" t="s">
        <v>35</v>
      </c>
      <c r="AU7" s="46"/>
    </row>
    <row r="8" spans="1:47" ht="216" x14ac:dyDescent="0.3">
      <c r="A8" s="15" t="s">
        <v>513</v>
      </c>
      <c r="B8" s="15" t="s">
        <v>498</v>
      </c>
      <c r="C8" s="15" t="s">
        <v>499</v>
      </c>
      <c r="D8" s="15" t="s">
        <v>497</v>
      </c>
      <c r="E8" s="15">
        <v>1</v>
      </c>
      <c r="F8" s="44" t="s">
        <v>500</v>
      </c>
      <c r="G8" s="15">
        <v>1</v>
      </c>
      <c r="H8" s="15">
        <v>6</v>
      </c>
      <c r="I8" s="15" t="s">
        <v>579</v>
      </c>
      <c r="J8" s="15" t="s">
        <v>29</v>
      </c>
      <c r="K8" s="15" t="s">
        <v>580</v>
      </c>
      <c r="L8" s="44" t="s">
        <v>514</v>
      </c>
      <c r="M8" s="44" t="s">
        <v>568</v>
      </c>
      <c r="N8" s="15" t="s">
        <v>274</v>
      </c>
      <c r="O8" s="15" t="s">
        <v>274</v>
      </c>
      <c r="P8" s="45" t="s">
        <v>588</v>
      </c>
      <c r="Q8" s="15" t="s">
        <v>588</v>
      </c>
      <c r="R8" s="15" t="s">
        <v>33</v>
      </c>
      <c r="S8" s="15">
        <v>1</v>
      </c>
      <c r="T8" s="15">
        <v>1</v>
      </c>
      <c r="U8" s="15">
        <v>1</v>
      </c>
      <c r="V8" s="15">
        <v>1</v>
      </c>
      <c r="W8" s="36">
        <v>25000</v>
      </c>
      <c r="X8" s="95">
        <v>0</v>
      </c>
      <c r="Y8" s="36">
        <v>25000</v>
      </c>
      <c r="Z8" s="95">
        <v>25000</v>
      </c>
      <c r="AA8" s="35" t="s">
        <v>498</v>
      </c>
      <c r="AB8" s="44" t="s">
        <v>589</v>
      </c>
      <c r="AC8" t="s">
        <v>498</v>
      </c>
      <c r="AD8" s="35"/>
      <c r="AE8" s="37">
        <v>2.5</v>
      </c>
      <c r="AF8" s="36">
        <v>62500</v>
      </c>
      <c r="AG8" s="36">
        <v>62500</v>
      </c>
      <c r="AH8" s="35">
        <v>0</v>
      </c>
      <c r="AI8" s="35">
        <v>0</v>
      </c>
      <c r="AJ8" s="35"/>
      <c r="AK8">
        <v>0.22</v>
      </c>
      <c r="AL8" s="36">
        <v>62500</v>
      </c>
      <c r="AM8" s="95">
        <v>13750</v>
      </c>
      <c r="AN8">
        <v>76250</v>
      </c>
      <c r="AO8" s="36">
        <v>62500</v>
      </c>
      <c r="AP8" s="95">
        <v>13750</v>
      </c>
      <c r="AQ8">
        <v>76250</v>
      </c>
      <c r="AR8" s="35">
        <v>12</v>
      </c>
      <c r="AS8" s="15" t="s">
        <v>29</v>
      </c>
      <c r="AT8" s="15" t="s">
        <v>35</v>
      </c>
      <c r="AU8" s="46"/>
    </row>
    <row r="9" spans="1:47" ht="172.8" x14ac:dyDescent="0.3">
      <c r="A9" s="15" t="s">
        <v>515</v>
      </c>
      <c r="B9" s="15" t="s">
        <v>498</v>
      </c>
      <c r="C9" s="15" t="s">
        <v>499</v>
      </c>
      <c r="D9" s="15" t="s">
        <v>497</v>
      </c>
      <c r="E9" s="15">
        <v>1</v>
      </c>
      <c r="F9" s="44" t="s">
        <v>500</v>
      </c>
      <c r="G9" s="15">
        <v>1</v>
      </c>
      <c r="H9" s="15">
        <v>7</v>
      </c>
      <c r="I9" s="15" t="s">
        <v>581</v>
      </c>
      <c r="J9" s="15" t="s">
        <v>29</v>
      </c>
      <c r="K9" s="15" t="s">
        <v>582</v>
      </c>
      <c r="L9" s="44" t="s">
        <v>516</v>
      </c>
      <c r="M9" s="44" t="s">
        <v>517</v>
      </c>
      <c r="N9" s="15" t="s">
        <v>274</v>
      </c>
      <c r="O9" s="15" t="s">
        <v>274</v>
      </c>
      <c r="P9" s="45" t="s">
        <v>588</v>
      </c>
      <c r="Q9" s="15" t="s">
        <v>588</v>
      </c>
      <c r="R9" s="15" t="s">
        <v>33</v>
      </c>
      <c r="S9" s="15">
        <v>1</v>
      </c>
      <c r="T9" s="15">
        <v>1</v>
      </c>
      <c r="U9" s="15">
        <v>1</v>
      </c>
      <c r="V9" s="15">
        <v>1</v>
      </c>
      <c r="W9" s="36">
        <v>25000</v>
      </c>
      <c r="X9" s="95">
        <v>0</v>
      </c>
      <c r="Y9" s="36">
        <v>25000</v>
      </c>
      <c r="Z9" s="95">
        <v>25000</v>
      </c>
      <c r="AA9" s="35" t="s">
        <v>498</v>
      </c>
      <c r="AB9" s="44" t="s">
        <v>589</v>
      </c>
      <c r="AC9" t="s">
        <v>498</v>
      </c>
      <c r="AD9" s="35"/>
      <c r="AE9" s="37">
        <v>3</v>
      </c>
      <c r="AF9" s="36">
        <v>75000</v>
      </c>
      <c r="AG9" s="36">
        <v>75000</v>
      </c>
      <c r="AH9" s="35">
        <v>0</v>
      </c>
      <c r="AI9" s="35">
        <v>0</v>
      </c>
      <c r="AJ9" s="35"/>
      <c r="AK9">
        <v>0.22</v>
      </c>
      <c r="AL9" s="36">
        <v>75000</v>
      </c>
      <c r="AM9" s="95">
        <v>16500</v>
      </c>
      <c r="AN9">
        <v>91500</v>
      </c>
      <c r="AO9" s="36">
        <v>75000</v>
      </c>
      <c r="AP9" s="95">
        <v>16500</v>
      </c>
      <c r="AQ9">
        <v>91500</v>
      </c>
      <c r="AR9" s="35">
        <v>12</v>
      </c>
      <c r="AS9" s="15" t="s">
        <v>29</v>
      </c>
      <c r="AT9" s="15" t="s">
        <v>35</v>
      </c>
      <c r="AU9" s="46"/>
    </row>
    <row r="10" spans="1:47" ht="158.4" x14ac:dyDescent="0.3">
      <c r="A10" s="15" t="s">
        <v>518</v>
      </c>
      <c r="B10" s="15" t="s">
        <v>498</v>
      </c>
      <c r="C10" s="15" t="s">
        <v>499</v>
      </c>
      <c r="D10" s="15" t="s">
        <v>497</v>
      </c>
      <c r="E10" s="15">
        <v>1</v>
      </c>
      <c r="F10" s="44" t="s">
        <v>500</v>
      </c>
      <c r="G10" s="15">
        <v>4</v>
      </c>
      <c r="H10" s="15">
        <v>1</v>
      </c>
      <c r="I10" s="15" t="s">
        <v>73</v>
      </c>
      <c r="J10" s="15" t="s">
        <v>35</v>
      </c>
      <c r="K10" s="15" t="s">
        <v>583</v>
      </c>
      <c r="L10" s="44" t="s">
        <v>519</v>
      </c>
      <c r="M10" s="44" t="s">
        <v>520</v>
      </c>
      <c r="N10" s="15" t="s">
        <v>274</v>
      </c>
      <c r="O10" s="15" t="s">
        <v>274</v>
      </c>
      <c r="P10" s="45" t="s">
        <v>588</v>
      </c>
      <c r="Q10" s="15" t="s">
        <v>588</v>
      </c>
      <c r="R10" s="15" t="s">
        <v>33</v>
      </c>
      <c r="S10" s="15">
        <v>1</v>
      </c>
      <c r="T10" s="15">
        <v>1</v>
      </c>
      <c r="U10" s="15">
        <v>1</v>
      </c>
      <c r="V10" s="15">
        <v>1</v>
      </c>
      <c r="W10" s="36">
        <v>100000</v>
      </c>
      <c r="X10" s="95">
        <v>0</v>
      </c>
      <c r="Y10" s="36">
        <v>100000</v>
      </c>
      <c r="Z10" s="95">
        <v>100000</v>
      </c>
      <c r="AA10" s="35" t="s">
        <v>498</v>
      </c>
      <c r="AB10" s="44" t="s">
        <v>601</v>
      </c>
      <c r="AC10" t="s">
        <v>498</v>
      </c>
      <c r="AD10" s="35"/>
      <c r="AE10" s="37">
        <v>1</v>
      </c>
      <c r="AF10" s="36">
        <v>100000</v>
      </c>
      <c r="AG10" s="36">
        <v>100000</v>
      </c>
      <c r="AH10" s="35">
        <v>0</v>
      </c>
      <c r="AI10" s="35">
        <v>0</v>
      </c>
      <c r="AJ10" s="35"/>
      <c r="AK10">
        <v>0.22</v>
      </c>
      <c r="AL10" s="36">
        <v>100000</v>
      </c>
      <c r="AM10" s="95">
        <v>22000</v>
      </c>
      <c r="AN10">
        <v>122000</v>
      </c>
      <c r="AO10" s="36">
        <v>100000</v>
      </c>
      <c r="AP10" s="95">
        <v>22000</v>
      </c>
      <c r="AQ10">
        <v>122000</v>
      </c>
      <c r="AR10" s="35">
        <v>45</v>
      </c>
      <c r="AS10" s="15" t="s">
        <v>29</v>
      </c>
      <c r="AT10" s="15" t="s">
        <v>35</v>
      </c>
      <c r="AU10" s="46"/>
    </row>
    <row r="15" spans="1:47" x14ac:dyDescent="0.3">
      <c r="AJ15" s="57"/>
    </row>
    <row r="16" spans="1:47" x14ac:dyDescent="0.3">
      <c r="AJ16" s="57"/>
    </row>
    <row r="17" spans="36:36" x14ac:dyDescent="0.3">
      <c r="AJ17" s="57"/>
    </row>
  </sheetData>
  <phoneticPr fontId="19" type="noConversion"/>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9E25D-D713-49D5-8F1A-D26EFDD05A32}">
  <dimension ref="A1:AC31"/>
  <sheetViews>
    <sheetView zoomScale="80" zoomScaleNormal="80" workbookViewId="0">
      <selection activeCell="D21" sqref="D21"/>
    </sheetView>
  </sheetViews>
  <sheetFormatPr defaultRowHeight="14.4" x14ac:dyDescent="0.3"/>
  <cols>
    <col min="1" max="1" width="39.6640625" style="33" customWidth="1"/>
    <col min="2" max="2" width="28.6640625" customWidth="1"/>
    <col min="3" max="3" width="18.109375" customWidth="1"/>
    <col min="4" max="4" width="15.33203125" style="30" customWidth="1"/>
    <col min="5" max="6" width="11.33203125" bestFit="1" customWidth="1"/>
    <col min="7" max="7" width="33.109375" bestFit="1" customWidth="1"/>
    <col min="8" max="8" width="8.33203125" bestFit="1" customWidth="1"/>
    <col min="9" max="9" width="21.6640625" bestFit="1" customWidth="1"/>
    <col min="10" max="10" width="33.88671875" bestFit="1" customWidth="1"/>
    <col min="11" max="11" width="43.109375" bestFit="1" customWidth="1"/>
    <col min="12" max="12" width="42.6640625" bestFit="1" customWidth="1"/>
    <col min="13" max="13" width="37.33203125" bestFit="1" customWidth="1"/>
    <col min="14" max="14" width="38.44140625" bestFit="1" customWidth="1"/>
    <col min="15" max="15" width="34.6640625" bestFit="1" customWidth="1"/>
    <col min="16" max="16" width="42.6640625" bestFit="1" customWidth="1"/>
    <col min="17" max="17" width="37.33203125" bestFit="1" customWidth="1"/>
    <col min="18" max="18" width="38.44140625" bestFit="1" customWidth="1"/>
    <col min="19" max="19" width="34.6640625" bestFit="1" customWidth="1"/>
    <col min="20" max="20" width="42.6640625" bestFit="1" customWidth="1"/>
    <col min="21" max="21" width="37.33203125" bestFit="1" customWidth="1"/>
    <col min="22" max="22" width="38.44140625" bestFit="1" customWidth="1"/>
    <col min="23" max="23" width="34.6640625" bestFit="1" customWidth="1"/>
    <col min="24" max="24" width="42.6640625" bestFit="1" customWidth="1"/>
    <col min="25" max="25" width="37.33203125" bestFit="1" customWidth="1"/>
    <col min="26" max="26" width="38.44140625" bestFit="1" customWidth="1"/>
    <col min="27" max="27" width="34.6640625" bestFit="1" customWidth="1"/>
    <col min="28" max="28" width="42.6640625" bestFit="1" customWidth="1"/>
    <col min="29" max="29" width="37.33203125" bestFit="1" customWidth="1"/>
  </cols>
  <sheetData>
    <row r="1" spans="1:29" x14ac:dyDescent="0.3">
      <c r="A1"/>
    </row>
    <row r="2" spans="1:29" ht="15" customHeight="1" x14ac:dyDescent="0.3">
      <c r="A2" s="39" t="s">
        <v>2</v>
      </c>
      <c r="B2" t="s" vm="3">
        <v>47</v>
      </c>
    </row>
    <row r="3" spans="1:29" s="1" customFormat="1" ht="27" customHeight="1" x14ac:dyDescent="0.3">
      <c r="A3" s="38" t="s">
        <v>9</v>
      </c>
      <c r="B3" t="s" vm="2">
        <v>78</v>
      </c>
      <c r="C3"/>
      <c r="D3"/>
      <c r="E3"/>
      <c r="F3"/>
      <c r="G3"/>
      <c r="H3"/>
      <c r="I3"/>
      <c r="J3"/>
      <c r="K3"/>
      <c r="L3" s="14"/>
      <c r="M3" s="14"/>
      <c r="N3" s="14"/>
      <c r="O3" s="14"/>
      <c r="P3" s="14"/>
      <c r="Q3" s="14"/>
      <c r="R3" s="14"/>
      <c r="S3" s="14"/>
      <c r="T3" s="14"/>
      <c r="U3" s="14"/>
      <c r="V3" s="14"/>
      <c r="W3" s="14"/>
      <c r="X3" s="14"/>
      <c r="Y3" s="14"/>
      <c r="Z3" s="14"/>
      <c r="AA3" s="14"/>
      <c r="AB3" s="14"/>
      <c r="AC3" s="14"/>
    </row>
    <row r="4" spans="1:29" x14ac:dyDescent="0.3">
      <c r="A4" s="38" t="s">
        <v>8</v>
      </c>
      <c r="B4" t="s" vm="1">
        <v>79</v>
      </c>
      <c r="D4"/>
    </row>
    <row r="5" spans="1:29" x14ac:dyDescent="0.3">
      <c r="A5"/>
      <c r="D5"/>
    </row>
    <row r="6" spans="1:29" ht="43.2" x14ac:dyDescent="0.3">
      <c r="A6" s="29" t="s">
        <v>80</v>
      </c>
      <c r="B6" s="8" t="s">
        <v>81</v>
      </c>
      <c r="C6" s="41" t="s">
        <v>82</v>
      </c>
      <c r="D6" s="42" t="s">
        <v>65</v>
      </c>
    </row>
    <row r="7" spans="1:29" ht="15" customHeight="1" x14ac:dyDescent="0.3">
      <c r="A7" s="33" t="s">
        <v>83</v>
      </c>
      <c r="B7" s="56"/>
      <c r="C7" s="41"/>
      <c r="D7" s="48"/>
    </row>
    <row r="8" spans="1:29" ht="15" customHeight="1" x14ac:dyDescent="0.3">
      <c r="A8" s="17" t="s">
        <v>48</v>
      </c>
      <c r="B8" s="56">
        <v>1</v>
      </c>
      <c r="C8" s="41">
        <v>351700</v>
      </c>
      <c r="D8" s="48">
        <v>1758500</v>
      </c>
    </row>
    <row r="9" spans="1:29" x14ac:dyDescent="0.3">
      <c r="A9" s="17" t="s">
        <v>30</v>
      </c>
      <c r="B9" s="56">
        <v>3</v>
      </c>
      <c r="C9" s="41">
        <v>60000</v>
      </c>
      <c r="D9" s="48">
        <v>240000</v>
      </c>
    </row>
    <row r="10" spans="1:29" x14ac:dyDescent="0.3">
      <c r="A10" s="17" t="s">
        <v>49</v>
      </c>
      <c r="B10" s="56">
        <v>3</v>
      </c>
      <c r="C10" s="41">
        <v>174900</v>
      </c>
      <c r="D10" s="48">
        <v>524700</v>
      </c>
    </row>
    <row r="11" spans="1:29" ht="28.8" x14ac:dyDescent="0.3">
      <c r="A11" s="33" t="s">
        <v>34</v>
      </c>
      <c r="B11" s="56"/>
      <c r="C11" s="41"/>
      <c r="D11" s="48"/>
    </row>
    <row r="12" spans="1:29" x14ac:dyDescent="0.3">
      <c r="A12" s="17" t="s">
        <v>50</v>
      </c>
      <c r="B12" s="56">
        <v>6</v>
      </c>
      <c r="C12" s="41">
        <v>95400</v>
      </c>
      <c r="D12" s="48">
        <v>286200</v>
      </c>
    </row>
    <row r="13" spans="1:29" x14ac:dyDescent="0.3">
      <c r="A13" s="17" t="s">
        <v>51</v>
      </c>
      <c r="B13" s="56">
        <v>4</v>
      </c>
      <c r="C13" s="41">
        <v>5600</v>
      </c>
      <c r="D13" s="48">
        <v>15120.000000000002</v>
      </c>
    </row>
    <row r="14" spans="1:29" x14ac:dyDescent="0.3">
      <c r="A14" s="40" t="s">
        <v>38</v>
      </c>
      <c r="B14" s="56">
        <v>6</v>
      </c>
      <c r="C14" s="41">
        <v>17400</v>
      </c>
      <c r="D14" s="48">
        <v>46980.000000000007</v>
      </c>
    </row>
    <row r="15" spans="1:29" x14ac:dyDescent="0.3">
      <c r="A15" s="17" t="s">
        <v>52</v>
      </c>
      <c r="B15" s="56">
        <v>24</v>
      </c>
      <c r="C15" s="41">
        <v>48000</v>
      </c>
      <c r="D15" s="48">
        <v>153600</v>
      </c>
    </row>
    <row r="16" spans="1:29" x14ac:dyDescent="0.3">
      <c r="A16" s="33" t="s">
        <v>84</v>
      </c>
      <c r="B16" s="56">
        <v>47</v>
      </c>
      <c r="C16" s="41">
        <v>753000</v>
      </c>
      <c r="D16" s="48">
        <v>3025100</v>
      </c>
    </row>
    <row r="17" spans="1:4" x14ac:dyDescent="0.3">
      <c r="A17"/>
      <c r="D17"/>
    </row>
    <row r="18" spans="1:4" x14ac:dyDescent="0.3">
      <c r="A18"/>
      <c r="D18"/>
    </row>
    <row r="19" spans="1:4" x14ac:dyDescent="0.3">
      <c r="A19"/>
      <c r="D19"/>
    </row>
    <row r="20" spans="1:4" x14ac:dyDescent="0.3">
      <c r="A20"/>
      <c r="D20"/>
    </row>
    <row r="21" spans="1:4" x14ac:dyDescent="0.3">
      <c r="A21"/>
      <c r="D21"/>
    </row>
    <row r="22" spans="1:4" x14ac:dyDescent="0.3">
      <c r="A22"/>
      <c r="D22"/>
    </row>
    <row r="23" spans="1:4" x14ac:dyDescent="0.3">
      <c r="A23"/>
      <c r="D23"/>
    </row>
    <row r="24" spans="1:4" x14ac:dyDescent="0.3">
      <c r="A24"/>
      <c r="D24"/>
    </row>
    <row r="25" spans="1:4" x14ac:dyDescent="0.3">
      <c r="A25"/>
      <c r="D25"/>
    </row>
    <row r="26" spans="1:4" x14ac:dyDescent="0.3">
      <c r="A26"/>
      <c r="D26"/>
    </row>
    <row r="27" spans="1:4" x14ac:dyDescent="0.3">
      <c r="A27"/>
      <c r="D27"/>
    </row>
    <row r="28" spans="1:4" x14ac:dyDescent="0.3">
      <c r="A28"/>
      <c r="D28"/>
    </row>
    <row r="29" spans="1:4" x14ac:dyDescent="0.3">
      <c r="A29"/>
      <c r="D29"/>
    </row>
    <row r="30" spans="1:4" x14ac:dyDescent="0.3">
      <c r="A30"/>
      <c r="D30"/>
    </row>
    <row r="31" spans="1:4" x14ac:dyDescent="0.3">
      <c r="A31"/>
      <c r="D3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B9DA0-9075-4AA6-984B-E5E2F807A8AE}">
  <dimension ref="A1:E172"/>
  <sheetViews>
    <sheetView workbookViewId="0">
      <pane ySplit="1" topLeftCell="A80" activePane="bottomLeft" state="frozen"/>
      <selection activeCell="H109" sqref="H109"/>
      <selection pane="bottomLeft" activeCell="H109" sqref="H109"/>
    </sheetView>
  </sheetViews>
  <sheetFormatPr defaultRowHeight="14.4" x14ac:dyDescent="0.3"/>
  <cols>
    <col min="1" max="1" width="11.109375" bestFit="1" customWidth="1"/>
    <col min="2" max="2" width="39.6640625" bestFit="1" customWidth="1"/>
    <col min="3" max="3" width="41" bestFit="1" customWidth="1"/>
    <col min="4" max="4" width="35.77734375" bestFit="1" customWidth="1"/>
    <col min="5" max="5" width="25.109375" bestFit="1" customWidth="1"/>
  </cols>
  <sheetData>
    <row r="1" spans="1:5" x14ac:dyDescent="0.3">
      <c r="A1" s="1" t="s">
        <v>0</v>
      </c>
      <c r="B1" t="s">
        <v>10</v>
      </c>
      <c r="C1" s="1" t="s">
        <v>85</v>
      </c>
      <c r="D1" t="s">
        <v>86</v>
      </c>
      <c r="E1" t="s">
        <v>87</v>
      </c>
    </row>
    <row r="2" spans="1:5" x14ac:dyDescent="0.3">
      <c r="A2" s="7">
        <v>321</v>
      </c>
      <c r="B2" t="s">
        <v>112</v>
      </c>
      <c r="C2" s="10" t="s">
        <v>112</v>
      </c>
      <c r="D2" t="s">
        <v>89</v>
      </c>
    </row>
    <row r="3" spans="1:5" x14ac:dyDescent="0.3">
      <c r="A3" s="7">
        <v>325</v>
      </c>
      <c r="B3" t="s">
        <v>113</v>
      </c>
      <c r="C3" s="10" t="s">
        <v>113</v>
      </c>
      <c r="D3" t="s">
        <v>89</v>
      </c>
    </row>
    <row r="4" spans="1:5" x14ac:dyDescent="0.3">
      <c r="A4" s="7">
        <v>279</v>
      </c>
      <c r="B4" t="s">
        <v>122</v>
      </c>
      <c r="C4" s="10" t="s">
        <v>122</v>
      </c>
      <c r="D4" t="s">
        <v>89</v>
      </c>
    </row>
    <row r="5" spans="1:5" x14ac:dyDescent="0.3">
      <c r="A5" s="7">
        <v>280</v>
      </c>
      <c r="B5" t="s">
        <v>123</v>
      </c>
      <c r="C5" s="10" t="s">
        <v>123</v>
      </c>
      <c r="D5" t="s">
        <v>89</v>
      </c>
    </row>
    <row r="6" spans="1:5" x14ac:dyDescent="0.3">
      <c r="A6" s="7">
        <v>322</v>
      </c>
      <c r="B6" t="s">
        <v>126</v>
      </c>
      <c r="C6" s="10" t="s">
        <v>126</v>
      </c>
      <c r="D6" t="s">
        <v>89</v>
      </c>
    </row>
    <row r="7" spans="1:5" x14ac:dyDescent="0.3">
      <c r="A7" s="7">
        <v>289</v>
      </c>
      <c r="B7" t="s">
        <v>132</v>
      </c>
      <c r="C7" s="10" t="s">
        <v>132</v>
      </c>
      <c r="D7" t="s">
        <v>89</v>
      </c>
    </row>
    <row r="8" spans="1:5" x14ac:dyDescent="0.3">
      <c r="A8" s="7">
        <v>328</v>
      </c>
      <c r="B8" t="s">
        <v>160</v>
      </c>
      <c r="C8" s="10" t="s">
        <v>160</v>
      </c>
      <c r="D8" t="s">
        <v>89</v>
      </c>
    </row>
    <row r="9" spans="1:5" x14ac:dyDescent="0.3">
      <c r="A9" s="7">
        <v>318</v>
      </c>
      <c r="B9" t="s">
        <v>161</v>
      </c>
      <c r="C9" s="10" t="s">
        <v>161</v>
      </c>
      <c r="D9" t="s">
        <v>89</v>
      </c>
    </row>
    <row r="10" spans="1:5" x14ac:dyDescent="0.3">
      <c r="A10" s="7">
        <v>324</v>
      </c>
      <c r="B10" t="s">
        <v>53</v>
      </c>
      <c r="C10" s="10" t="s">
        <v>53</v>
      </c>
      <c r="D10" t="s">
        <v>89</v>
      </c>
    </row>
    <row r="11" spans="1:5" x14ac:dyDescent="0.3">
      <c r="A11" s="7">
        <v>323</v>
      </c>
      <c r="B11" t="s">
        <v>47</v>
      </c>
      <c r="C11" s="10" t="s">
        <v>47</v>
      </c>
      <c r="D11" t="s">
        <v>89</v>
      </c>
    </row>
    <row r="12" spans="1:5" x14ac:dyDescent="0.3">
      <c r="A12" s="7">
        <v>328</v>
      </c>
      <c r="B12" t="s">
        <v>164</v>
      </c>
      <c r="C12" s="10" t="s">
        <v>164</v>
      </c>
      <c r="D12" t="s">
        <v>89</v>
      </c>
    </row>
    <row r="13" spans="1:5" x14ac:dyDescent="0.3">
      <c r="A13" s="7">
        <v>329</v>
      </c>
      <c r="B13" t="s">
        <v>166</v>
      </c>
      <c r="C13" s="10" t="s">
        <v>166</v>
      </c>
      <c r="D13" t="s">
        <v>89</v>
      </c>
    </row>
    <row r="14" spans="1:5" x14ac:dyDescent="0.3">
      <c r="A14" s="7">
        <v>330</v>
      </c>
      <c r="B14" t="s">
        <v>167</v>
      </c>
      <c r="C14" s="10" t="s">
        <v>167</v>
      </c>
      <c r="D14" t="s">
        <v>89</v>
      </c>
    </row>
    <row r="15" spans="1:5" x14ac:dyDescent="0.3">
      <c r="A15" s="7">
        <v>331</v>
      </c>
      <c r="B15" t="s">
        <v>168</v>
      </c>
      <c r="C15" s="10" t="s">
        <v>168</v>
      </c>
      <c r="D15" t="s">
        <v>89</v>
      </c>
    </row>
    <row r="16" spans="1:5" x14ac:dyDescent="0.3">
      <c r="A16" s="7">
        <v>345</v>
      </c>
      <c r="B16" t="s">
        <v>169</v>
      </c>
      <c r="C16" s="10" t="s">
        <v>169</v>
      </c>
      <c r="D16" t="s">
        <v>89</v>
      </c>
    </row>
    <row r="17" spans="1:4" x14ac:dyDescent="0.3">
      <c r="A17" s="7">
        <v>332</v>
      </c>
      <c r="B17" t="s">
        <v>170</v>
      </c>
      <c r="C17" s="10" t="s">
        <v>170</v>
      </c>
      <c r="D17" t="s">
        <v>89</v>
      </c>
    </row>
    <row r="18" spans="1:4" x14ac:dyDescent="0.3">
      <c r="A18" s="7">
        <v>343</v>
      </c>
      <c r="B18" t="s">
        <v>171</v>
      </c>
      <c r="C18" s="10" t="s">
        <v>171</v>
      </c>
      <c r="D18" t="s">
        <v>89</v>
      </c>
    </row>
    <row r="19" spans="1:4" x14ac:dyDescent="0.3">
      <c r="A19" s="7">
        <v>338</v>
      </c>
      <c r="B19" t="s">
        <v>177</v>
      </c>
      <c r="C19" s="10" t="s">
        <v>177</v>
      </c>
      <c r="D19" t="s">
        <v>89</v>
      </c>
    </row>
    <row r="20" spans="1:4" x14ac:dyDescent="0.3">
      <c r="A20" s="7">
        <v>339</v>
      </c>
      <c r="B20" t="s">
        <v>178</v>
      </c>
      <c r="C20" s="10" t="s">
        <v>178</v>
      </c>
      <c r="D20" t="s">
        <v>89</v>
      </c>
    </row>
    <row r="21" spans="1:4" x14ac:dyDescent="0.3">
      <c r="A21" s="7">
        <v>346</v>
      </c>
      <c r="B21" t="s">
        <v>179</v>
      </c>
      <c r="C21" s="10" t="s">
        <v>179</v>
      </c>
      <c r="D21" t="s">
        <v>89</v>
      </c>
    </row>
    <row r="22" spans="1:4" x14ac:dyDescent="0.3">
      <c r="A22" s="7">
        <v>344</v>
      </c>
      <c r="B22" t="s">
        <v>181</v>
      </c>
      <c r="C22" s="10" t="s">
        <v>181</v>
      </c>
      <c r="D22" t="s">
        <v>89</v>
      </c>
    </row>
    <row r="23" spans="1:4" x14ac:dyDescent="0.3">
      <c r="A23" s="7">
        <v>342</v>
      </c>
      <c r="B23" t="s">
        <v>184</v>
      </c>
      <c r="C23" s="10" t="s">
        <v>184</v>
      </c>
      <c r="D23" t="s">
        <v>201</v>
      </c>
    </row>
    <row r="24" spans="1:4" x14ac:dyDescent="0.3">
      <c r="A24" s="7">
        <v>358</v>
      </c>
      <c r="B24" t="s">
        <v>28</v>
      </c>
      <c r="C24" s="10" t="s">
        <v>28</v>
      </c>
    </row>
    <row r="25" spans="1:4" x14ac:dyDescent="0.3">
      <c r="A25" s="7">
        <v>360</v>
      </c>
      <c r="B25" t="s">
        <v>199</v>
      </c>
      <c r="C25" s="10" t="s">
        <v>199</v>
      </c>
      <c r="D25" t="s">
        <v>198</v>
      </c>
    </row>
    <row r="26" spans="1:4" x14ac:dyDescent="0.3">
      <c r="A26" s="7">
        <v>362</v>
      </c>
      <c r="B26" t="s">
        <v>202</v>
      </c>
      <c r="C26" s="10" t="s">
        <v>202</v>
      </c>
      <c r="D26" t="s">
        <v>201</v>
      </c>
    </row>
    <row r="27" spans="1:4" x14ac:dyDescent="0.3">
      <c r="A27" s="7">
        <v>370</v>
      </c>
      <c r="B27" t="s">
        <v>56</v>
      </c>
      <c r="C27" s="10" t="s">
        <v>56</v>
      </c>
      <c r="D27" t="s">
        <v>188</v>
      </c>
    </row>
    <row r="28" spans="1:4" x14ac:dyDescent="0.3">
      <c r="A28" s="7">
        <v>373</v>
      </c>
      <c r="B28" t="s">
        <v>466</v>
      </c>
      <c r="C28" s="10" t="s">
        <v>466</v>
      </c>
      <c r="D28" t="s">
        <v>89</v>
      </c>
    </row>
    <row r="29" spans="1:4" x14ac:dyDescent="0.3">
      <c r="A29" s="7">
        <v>375</v>
      </c>
      <c r="B29" t="s">
        <v>469</v>
      </c>
      <c r="C29" s="10" t="s">
        <v>469</v>
      </c>
      <c r="D29" t="s">
        <v>89</v>
      </c>
    </row>
    <row r="30" spans="1:4" x14ac:dyDescent="0.3">
      <c r="A30" s="7">
        <v>382</v>
      </c>
      <c r="B30" t="s">
        <v>476</v>
      </c>
      <c r="C30" s="10" t="s">
        <v>476</v>
      </c>
      <c r="D30" t="s">
        <v>89</v>
      </c>
    </row>
    <row r="31" spans="1:4" x14ac:dyDescent="0.3">
      <c r="A31" s="7">
        <v>355</v>
      </c>
      <c r="B31" t="s">
        <v>521</v>
      </c>
      <c r="C31" s="10" t="s">
        <v>521</v>
      </c>
      <c r="D31" t="s">
        <v>89</v>
      </c>
    </row>
    <row r="32" spans="1:4" x14ac:dyDescent="0.3">
      <c r="A32" s="7">
        <v>357</v>
      </c>
      <c r="B32" t="s">
        <v>522</v>
      </c>
      <c r="C32" s="10" t="s">
        <v>522</v>
      </c>
      <c r="D32" t="s">
        <v>89</v>
      </c>
    </row>
    <row r="33" spans="1:4" x14ac:dyDescent="0.3">
      <c r="A33" s="7">
        <v>322</v>
      </c>
      <c r="B33" t="s">
        <v>165</v>
      </c>
      <c r="C33" s="10" t="s">
        <v>165</v>
      </c>
      <c r="D33" t="s">
        <v>89</v>
      </c>
    </row>
    <row r="34" spans="1:4" x14ac:dyDescent="0.3">
      <c r="A34" s="7">
        <v>336</v>
      </c>
      <c r="B34" t="s">
        <v>175</v>
      </c>
      <c r="C34" s="10" t="s">
        <v>175</v>
      </c>
      <c r="D34" t="s">
        <v>89</v>
      </c>
    </row>
    <row r="35" spans="1:4" x14ac:dyDescent="0.3">
      <c r="A35" s="7">
        <v>337</v>
      </c>
      <c r="B35" t="s">
        <v>176</v>
      </c>
      <c r="C35" s="10" t="s">
        <v>176</v>
      </c>
      <c r="D35" t="s">
        <v>89</v>
      </c>
    </row>
    <row r="36" spans="1:4" x14ac:dyDescent="0.3">
      <c r="A36" s="7">
        <v>349</v>
      </c>
      <c r="B36" t="s">
        <v>186</v>
      </c>
      <c r="C36" s="10" t="s">
        <v>186</v>
      </c>
      <c r="D36" t="s">
        <v>89</v>
      </c>
    </row>
    <row r="37" spans="1:4" x14ac:dyDescent="0.3">
      <c r="A37" s="7">
        <v>351</v>
      </c>
      <c r="B37" t="s">
        <v>189</v>
      </c>
      <c r="C37" s="10" t="s">
        <v>189</v>
      </c>
      <c r="D37" t="s">
        <v>523</v>
      </c>
    </row>
    <row r="38" spans="1:4" x14ac:dyDescent="0.3">
      <c r="A38" s="7">
        <v>352</v>
      </c>
      <c r="B38" t="s">
        <v>190</v>
      </c>
      <c r="C38" s="10" t="s">
        <v>190</v>
      </c>
      <c r="D38" t="s">
        <v>523</v>
      </c>
    </row>
    <row r="39" spans="1:4" x14ac:dyDescent="0.3">
      <c r="A39" s="7">
        <v>352</v>
      </c>
      <c r="B39" t="s">
        <v>191</v>
      </c>
      <c r="C39" s="10" t="s">
        <v>191</v>
      </c>
      <c r="D39" t="s">
        <v>523</v>
      </c>
    </row>
    <row r="40" spans="1:4" x14ac:dyDescent="0.3">
      <c r="A40" s="7">
        <v>353</v>
      </c>
      <c r="B40" t="s">
        <v>192</v>
      </c>
      <c r="C40" s="10" t="s">
        <v>192</v>
      </c>
      <c r="D40" t="s">
        <v>523</v>
      </c>
    </row>
    <row r="41" spans="1:4" x14ac:dyDescent="0.3">
      <c r="A41" s="7">
        <v>354</v>
      </c>
      <c r="B41" t="s">
        <v>193</v>
      </c>
      <c r="C41" s="10" t="s">
        <v>193</v>
      </c>
      <c r="D41" t="s">
        <v>523</v>
      </c>
    </row>
    <row r="42" spans="1:4" x14ac:dyDescent="0.3">
      <c r="A42" s="7">
        <v>355</v>
      </c>
      <c r="B42" t="s">
        <v>194</v>
      </c>
      <c r="C42" s="10" t="s">
        <v>194</v>
      </c>
      <c r="D42" t="s">
        <v>523</v>
      </c>
    </row>
    <row r="43" spans="1:4" x14ac:dyDescent="0.3">
      <c r="A43" s="7">
        <v>357</v>
      </c>
      <c r="B43" t="s">
        <v>195</v>
      </c>
      <c r="C43" s="10" t="s">
        <v>195</v>
      </c>
      <c r="D43" t="s">
        <v>196</v>
      </c>
    </row>
    <row r="44" spans="1:4" x14ac:dyDescent="0.3">
      <c r="A44" s="7">
        <v>363</v>
      </c>
      <c r="B44" t="s">
        <v>203</v>
      </c>
      <c r="C44" s="10" t="s">
        <v>203</v>
      </c>
      <c r="D44" t="s">
        <v>201</v>
      </c>
    </row>
    <row r="45" spans="1:4" x14ac:dyDescent="0.3">
      <c r="A45" s="7">
        <v>251</v>
      </c>
      <c r="B45" t="s">
        <v>88</v>
      </c>
      <c r="C45" s="10" t="s">
        <v>88</v>
      </c>
      <c r="D45" t="s">
        <v>89</v>
      </c>
    </row>
    <row r="46" spans="1:4" x14ac:dyDescent="0.3">
      <c r="A46" s="7">
        <v>252</v>
      </c>
      <c r="B46" t="s">
        <v>90</v>
      </c>
      <c r="C46" s="10" t="s">
        <v>90</v>
      </c>
      <c r="D46" t="s">
        <v>89</v>
      </c>
    </row>
    <row r="47" spans="1:4" x14ac:dyDescent="0.3">
      <c r="A47" s="7">
        <v>253</v>
      </c>
      <c r="B47" t="s">
        <v>91</v>
      </c>
      <c r="C47" s="10" t="s">
        <v>91</v>
      </c>
      <c r="D47" t="s">
        <v>89</v>
      </c>
    </row>
    <row r="48" spans="1:4" x14ac:dyDescent="0.3">
      <c r="A48" s="7">
        <v>254</v>
      </c>
      <c r="B48" t="s">
        <v>92</v>
      </c>
      <c r="C48" s="10" t="s">
        <v>92</v>
      </c>
      <c r="D48" t="s">
        <v>89</v>
      </c>
    </row>
    <row r="49" spans="1:4" x14ac:dyDescent="0.3">
      <c r="A49" s="7">
        <v>255</v>
      </c>
      <c r="B49" t="s">
        <v>93</v>
      </c>
      <c r="C49" s="10" t="s">
        <v>93</v>
      </c>
      <c r="D49" t="s">
        <v>89</v>
      </c>
    </row>
    <row r="50" spans="1:4" x14ac:dyDescent="0.3">
      <c r="A50" s="7">
        <v>256</v>
      </c>
      <c r="B50" t="s">
        <v>94</v>
      </c>
      <c r="C50" s="10" t="s">
        <v>94</v>
      </c>
      <c r="D50" t="s">
        <v>89</v>
      </c>
    </row>
    <row r="51" spans="1:4" x14ac:dyDescent="0.3">
      <c r="A51" s="7">
        <v>257</v>
      </c>
      <c r="B51" t="s">
        <v>95</v>
      </c>
      <c r="C51" s="10" t="s">
        <v>95</v>
      </c>
      <c r="D51" t="s">
        <v>89</v>
      </c>
    </row>
    <row r="52" spans="1:4" x14ac:dyDescent="0.3">
      <c r="A52" s="7">
        <v>258</v>
      </c>
      <c r="B52" t="s">
        <v>96</v>
      </c>
      <c r="C52" s="10" t="s">
        <v>96</v>
      </c>
      <c r="D52" t="s">
        <v>89</v>
      </c>
    </row>
    <row r="53" spans="1:4" x14ac:dyDescent="0.3">
      <c r="A53" s="7">
        <v>259</v>
      </c>
      <c r="B53" t="s">
        <v>97</v>
      </c>
      <c r="C53" s="10" t="s">
        <v>97</v>
      </c>
      <c r="D53" t="s">
        <v>89</v>
      </c>
    </row>
    <row r="54" spans="1:4" x14ac:dyDescent="0.3">
      <c r="A54" s="7">
        <v>260</v>
      </c>
      <c r="B54" t="s">
        <v>98</v>
      </c>
      <c r="C54" s="10" t="s">
        <v>98</v>
      </c>
      <c r="D54" t="s">
        <v>89</v>
      </c>
    </row>
    <row r="55" spans="1:4" x14ac:dyDescent="0.3">
      <c r="A55" s="7">
        <v>261</v>
      </c>
      <c r="B55" t="s">
        <v>99</v>
      </c>
      <c r="C55" s="10" t="s">
        <v>99</v>
      </c>
      <c r="D55" t="s">
        <v>89</v>
      </c>
    </row>
    <row r="56" spans="1:4" x14ac:dyDescent="0.3">
      <c r="A56" s="7">
        <v>262</v>
      </c>
      <c r="B56" t="s">
        <v>100</v>
      </c>
      <c r="C56" s="10" t="s">
        <v>100</v>
      </c>
      <c r="D56" t="s">
        <v>89</v>
      </c>
    </row>
    <row r="57" spans="1:4" x14ac:dyDescent="0.3">
      <c r="A57" s="7">
        <v>263</v>
      </c>
      <c r="B57" t="s">
        <v>101</v>
      </c>
      <c r="C57" s="10" t="s">
        <v>101</v>
      </c>
      <c r="D57" t="s">
        <v>89</v>
      </c>
    </row>
    <row r="58" spans="1:4" x14ac:dyDescent="0.3">
      <c r="A58" s="7">
        <v>264</v>
      </c>
      <c r="B58" t="s">
        <v>102</v>
      </c>
      <c r="C58" s="10" t="s">
        <v>102</v>
      </c>
      <c r="D58" t="s">
        <v>89</v>
      </c>
    </row>
    <row r="59" spans="1:4" x14ac:dyDescent="0.3">
      <c r="A59" s="7">
        <v>265</v>
      </c>
      <c r="B59" t="s">
        <v>103</v>
      </c>
      <c r="C59" s="10" t="s">
        <v>103</v>
      </c>
      <c r="D59" t="s">
        <v>89</v>
      </c>
    </row>
    <row r="60" spans="1:4" x14ac:dyDescent="0.3">
      <c r="A60" s="7">
        <v>266</v>
      </c>
      <c r="B60" t="s">
        <v>104</v>
      </c>
      <c r="C60" s="10" t="s">
        <v>104</v>
      </c>
      <c r="D60" t="s">
        <v>89</v>
      </c>
    </row>
    <row r="61" spans="1:4" x14ac:dyDescent="0.3">
      <c r="A61" s="7">
        <v>267</v>
      </c>
      <c r="B61" t="s">
        <v>105</v>
      </c>
      <c r="C61" s="10" t="s">
        <v>105</v>
      </c>
      <c r="D61" t="s">
        <v>89</v>
      </c>
    </row>
    <row r="62" spans="1:4" x14ac:dyDescent="0.3">
      <c r="A62" s="7">
        <v>268</v>
      </c>
      <c r="B62" t="s">
        <v>106</v>
      </c>
      <c r="C62" s="10" t="s">
        <v>106</v>
      </c>
      <c r="D62" t="s">
        <v>89</v>
      </c>
    </row>
    <row r="63" spans="1:4" x14ac:dyDescent="0.3">
      <c r="A63" s="7">
        <v>269</v>
      </c>
      <c r="B63" t="s">
        <v>107</v>
      </c>
      <c r="C63" s="10" t="s">
        <v>107</v>
      </c>
      <c r="D63" t="s">
        <v>89</v>
      </c>
    </row>
    <row r="64" spans="1:4" x14ac:dyDescent="0.3">
      <c r="A64" s="7">
        <v>270</v>
      </c>
      <c r="B64" t="s">
        <v>108</v>
      </c>
      <c r="C64" s="10" t="s">
        <v>108</v>
      </c>
      <c r="D64" t="s">
        <v>89</v>
      </c>
    </row>
    <row r="65" spans="1:4" x14ac:dyDescent="0.3">
      <c r="A65" s="7">
        <v>271</v>
      </c>
      <c r="B65" t="s">
        <v>109</v>
      </c>
      <c r="C65" s="10" t="s">
        <v>109</v>
      </c>
      <c r="D65" t="s">
        <v>89</v>
      </c>
    </row>
    <row r="66" spans="1:4" x14ac:dyDescent="0.3">
      <c r="A66" s="7">
        <v>282</v>
      </c>
      <c r="B66" t="s">
        <v>110</v>
      </c>
      <c r="C66" s="10" t="s">
        <v>110</v>
      </c>
      <c r="D66" t="s">
        <v>89</v>
      </c>
    </row>
    <row r="67" spans="1:4" x14ac:dyDescent="0.3">
      <c r="A67" s="7">
        <v>320</v>
      </c>
      <c r="B67" t="s">
        <v>111</v>
      </c>
      <c r="C67" s="10" t="s">
        <v>111</v>
      </c>
      <c r="D67" t="s">
        <v>89</v>
      </c>
    </row>
    <row r="68" spans="1:4" x14ac:dyDescent="0.3">
      <c r="A68" s="7">
        <v>326</v>
      </c>
      <c r="B68" t="s">
        <v>114</v>
      </c>
      <c r="C68" s="10" t="s">
        <v>114</v>
      </c>
      <c r="D68" t="s">
        <v>89</v>
      </c>
    </row>
    <row r="69" spans="1:4" x14ac:dyDescent="0.3">
      <c r="A69" s="7">
        <v>272</v>
      </c>
      <c r="B69" t="s">
        <v>115</v>
      </c>
      <c r="C69" s="10" t="s">
        <v>115</v>
      </c>
      <c r="D69" t="s">
        <v>89</v>
      </c>
    </row>
    <row r="70" spans="1:4" x14ac:dyDescent="0.3">
      <c r="A70" s="7">
        <v>273</v>
      </c>
      <c r="B70" t="s">
        <v>116</v>
      </c>
      <c r="C70" s="10" t="s">
        <v>116</v>
      </c>
      <c r="D70" t="s">
        <v>89</v>
      </c>
    </row>
    <row r="71" spans="1:4" x14ac:dyDescent="0.3">
      <c r="A71" s="7">
        <v>274</v>
      </c>
      <c r="B71" t="s">
        <v>117</v>
      </c>
      <c r="C71" s="10" t="s">
        <v>117</v>
      </c>
      <c r="D71" t="s">
        <v>89</v>
      </c>
    </row>
    <row r="72" spans="1:4" x14ac:dyDescent="0.3">
      <c r="A72" s="7">
        <v>275</v>
      </c>
      <c r="B72" t="s">
        <v>118</v>
      </c>
      <c r="C72" s="10" t="s">
        <v>118</v>
      </c>
      <c r="D72" t="s">
        <v>89</v>
      </c>
    </row>
    <row r="73" spans="1:4" x14ac:dyDescent="0.3">
      <c r="A73" s="7">
        <v>276</v>
      </c>
      <c r="B73" t="s">
        <v>119</v>
      </c>
      <c r="C73" s="10" t="s">
        <v>119</v>
      </c>
      <c r="D73" t="s">
        <v>89</v>
      </c>
    </row>
    <row r="74" spans="1:4" x14ac:dyDescent="0.3">
      <c r="A74" s="7">
        <v>277</v>
      </c>
      <c r="B74" t="s">
        <v>524</v>
      </c>
      <c r="C74" s="10" t="s">
        <v>524</v>
      </c>
      <c r="D74" t="s">
        <v>89</v>
      </c>
    </row>
    <row r="75" spans="1:4" x14ac:dyDescent="0.3">
      <c r="A75" s="7">
        <v>278</v>
      </c>
      <c r="B75" t="s">
        <v>121</v>
      </c>
      <c r="C75" s="10" t="s">
        <v>121</v>
      </c>
      <c r="D75" t="s">
        <v>89</v>
      </c>
    </row>
    <row r="76" spans="1:4" x14ac:dyDescent="0.3">
      <c r="A76" s="7">
        <v>281</v>
      </c>
      <c r="B76" t="s">
        <v>124</v>
      </c>
      <c r="C76" s="10" t="s">
        <v>124</v>
      </c>
      <c r="D76" t="s">
        <v>89</v>
      </c>
    </row>
    <row r="77" spans="1:4" x14ac:dyDescent="0.3">
      <c r="A77" s="7">
        <v>283</v>
      </c>
      <c r="B77" t="s">
        <v>125</v>
      </c>
      <c r="C77" s="10" t="s">
        <v>125</v>
      </c>
      <c r="D77" t="s">
        <v>89</v>
      </c>
    </row>
    <row r="78" spans="1:4" x14ac:dyDescent="0.3">
      <c r="A78" s="7">
        <v>284</v>
      </c>
      <c r="B78" t="s">
        <v>127</v>
      </c>
      <c r="C78" s="10" t="s">
        <v>127</v>
      </c>
      <c r="D78" t="s">
        <v>89</v>
      </c>
    </row>
    <row r="79" spans="1:4" x14ac:dyDescent="0.3">
      <c r="A79" s="7">
        <v>285</v>
      </c>
      <c r="B79" t="s">
        <v>128</v>
      </c>
      <c r="C79" s="10" t="s">
        <v>128</v>
      </c>
      <c r="D79" t="s">
        <v>89</v>
      </c>
    </row>
    <row r="80" spans="1:4" x14ac:dyDescent="0.3">
      <c r="A80" s="7">
        <v>286</v>
      </c>
      <c r="B80" t="s">
        <v>129</v>
      </c>
      <c r="C80" s="10" t="s">
        <v>129</v>
      </c>
      <c r="D80" t="s">
        <v>89</v>
      </c>
    </row>
    <row r="81" spans="1:5" x14ac:dyDescent="0.3">
      <c r="A81" s="7">
        <v>287</v>
      </c>
      <c r="B81" t="s">
        <v>130</v>
      </c>
      <c r="C81" s="10" t="s">
        <v>130</v>
      </c>
      <c r="D81" t="s">
        <v>89</v>
      </c>
    </row>
    <row r="82" spans="1:5" x14ac:dyDescent="0.3">
      <c r="A82" s="7">
        <v>293</v>
      </c>
      <c r="B82" t="s">
        <v>131</v>
      </c>
      <c r="C82" s="10" t="s">
        <v>131</v>
      </c>
      <c r="D82" t="s">
        <v>89</v>
      </c>
      <c r="E82" t="s">
        <v>468</v>
      </c>
    </row>
    <row r="83" spans="1:5" x14ac:dyDescent="0.3">
      <c r="A83" s="7">
        <v>290</v>
      </c>
      <c r="B83" t="s">
        <v>133</v>
      </c>
      <c r="C83" s="10" t="s">
        <v>133</v>
      </c>
      <c r="D83" t="s">
        <v>89</v>
      </c>
    </row>
    <row r="84" spans="1:5" x14ac:dyDescent="0.3">
      <c r="A84" s="7">
        <v>291</v>
      </c>
      <c r="B84" t="s">
        <v>134</v>
      </c>
      <c r="C84" s="10" t="s">
        <v>134</v>
      </c>
      <c r="D84" t="s">
        <v>89</v>
      </c>
    </row>
    <row r="85" spans="1:5" x14ac:dyDescent="0.3">
      <c r="A85" s="7">
        <v>292</v>
      </c>
      <c r="B85" t="s">
        <v>135</v>
      </c>
      <c r="C85" s="10" t="s">
        <v>135</v>
      </c>
      <c r="D85" t="s">
        <v>89</v>
      </c>
    </row>
    <row r="86" spans="1:5" x14ac:dyDescent="0.3">
      <c r="A86" s="7">
        <v>294</v>
      </c>
      <c r="B86" t="s">
        <v>136</v>
      </c>
      <c r="C86" s="10" t="s">
        <v>136</v>
      </c>
      <c r="D86" t="s">
        <v>89</v>
      </c>
      <c r="E86" t="s">
        <v>468</v>
      </c>
    </row>
    <row r="87" spans="1:5" x14ac:dyDescent="0.3">
      <c r="A87" s="7">
        <v>295</v>
      </c>
      <c r="B87" t="s">
        <v>120</v>
      </c>
      <c r="C87" s="10" t="s">
        <v>120</v>
      </c>
      <c r="D87" t="s">
        <v>89</v>
      </c>
    </row>
    <row r="88" spans="1:5" x14ac:dyDescent="0.3">
      <c r="A88" s="7">
        <v>296</v>
      </c>
      <c r="B88" t="s">
        <v>138</v>
      </c>
      <c r="C88" s="10" t="s">
        <v>138</v>
      </c>
      <c r="D88" t="s">
        <v>139</v>
      </c>
    </row>
    <row r="89" spans="1:5" x14ac:dyDescent="0.3">
      <c r="A89" s="7">
        <v>297</v>
      </c>
      <c r="B89" t="s">
        <v>140</v>
      </c>
      <c r="C89" s="10" t="s">
        <v>140</v>
      </c>
      <c r="D89" t="s">
        <v>89</v>
      </c>
    </row>
    <row r="90" spans="1:5" x14ac:dyDescent="0.3">
      <c r="A90" s="7">
        <v>298</v>
      </c>
      <c r="B90" t="s">
        <v>141</v>
      </c>
      <c r="C90" s="10" t="s">
        <v>141</v>
      </c>
      <c r="D90" t="s">
        <v>89</v>
      </c>
    </row>
    <row r="91" spans="1:5" x14ac:dyDescent="0.3">
      <c r="A91" s="7">
        <v>299</v>
      </c>
      <c r="B91" t="s">
        <v>142</v>
      </c>
      <c r="C91" s="10" t="s">
        <v>142</v>
      </c>
      <c r="D91" t="s">
        <v>89</v>
      </c>
    </row>
    <row r="92" spans="1:5" x14ac:dyDescent="0.3">
      <c r="A92" s="7">
        <v>300</v>
      </c>
      <c r="B92" t="s">
        <v>143</v>
      </c>
      <c r="C92" s="10" t="s">
        <v>143</v>
      </c>
      <c r="D92" t="s">
        <v>89</v>
      </c>
    </row>
    <row r="93" spans="1:5" x14ac:dyDescent="0.3">
      <c r="A93" s="7">
        <v>301</v>
      </c>
      <c r="B93" t="s">
        <v>144</v>
      </c>
      <c r="C93" s="10" t="s">
        <v>144</v>
      </c>
      <c r="D93" t="s">
        <v>89</v>
      </c>
    </row>
    <row r="94" spans="1:5" x14ac:dyDescent="0.3">
      <c r="A94" s="7">
        <v>302</v>
      </c>
      <c r="B94" t="s">
        <v>145</v>
      </c>
      <c r="C94" s="10" t="s">
        <v>145</v>
      </c>
      <c r="D94" t="s">
        <v>89</v>
      </c>
    </row>
    <row r="95" spans="1:5" x14ac:dyDescent="0.3">
      <c r="A95" s="7">
        <v>303</v>
      </c>
      <c r="B95" t="s">
        <v>146</v>
      </c>
      <c r="C95" s="10" t="s">
        <v>146</v>
      </c>
      <c r="D95" t="s">
        <v>89</v>
      </c>
    </row>
    <row r="96" spans="1:5" x14ac:dyDescent="0.3">
      <c r="A96" s="7">
        <v>304</v>
      </c>
      <c r="B96" t="s">
        <v>147</v>
      </c>
      <c r="C96" s="10" t="s">
        <v>147</v>
      </c>
      <c r="D96" t="s">
        <v>89</v>
      </c>
    </row>
    <row r="97" spans="1:4" x14ac:dyDescent="0.3">
      <c r="A97" s="7">
        <v>305</v>
      </c>
      <c r="B97" t="s">
        <v>148</v>
      </c>
      <c r="C97" s="10" t="s">
        <v>148</v>
      </c>
      <c r="D97" t="s">
        <v>89</v>
      </c>
    </row>
    <row r="98" spans="1:4" x14ac:dyDescent="0.3">
      <c r="A98" s="7">
        <v>306</v>
      </c>
      <c r="B98" t="s">
        <v>149</v>
      </c>
      <c r="C98" s="10" t="s">
        <v>149</v>
      </c>
      <c r="D98" t="s">
        <v>89</v>
      </c>
    </row>
    <row r="99" spans="1:4" x14ac:dyDescent="0.3">
      <c r="A99" s="7">
        <v>307</v>
      </c>
      <c r="B99" t="s">
        <v>150</v>
      </c>
      <c r="C99" s="10" t="s">
        <v>150</v>
      </c>
      <c r="D99" t="s">
        <v>89</v>
      </c>
    </row>
    <row r="100" spans="1:4" x14ac:dyDescent="0.3">
      <c r="A100" s="7">
        <v>308</v>
      </c>
      <c r="B100" t="s">
        <v>151</v>
      </c>
      <c r="C100" s="10" t="s">
        <v>151</v>
      </c>
      <c r="D100" t="s">
        <v>89</v>
      </c>
    </row>
    <row r="101" spans="1:4" x14ac:dyDescent="0.3">
      <c r="A101" s="7">
        <v>309</v>
      </c>
      <c r="B101" t="s">
        <v>152</v>
      </c>
      <c r="C101" s="10" t="s">
        <v>152</v>
      </c>
      <c r="D101" t="s">
        <v>89</v>
      </c>
    </row>
    <row r="102" spans="1:4" x14ac:dyDescent="0.3">
      <c r="A102" s="7">
        <v>310</v>
      </c>
      <c r="B102" t="s">
        <v>153</v>
      </c>
      <c r="C102" s="10" t="s">
        <v>153</v>
      </c>
      <c r="D102" t="s">
        <v>89</v>
      </c>
    </row>
    <row r="103" spans="1:4" x14ac:dyDescent="0.3">
      <c r="A103" s="7">
        <v>311</v>
      </c>
      <c r="B103" t="s">
        <v>154</v>
      </c>
      <c r="C103" s="10" t="s">
        <v>154</v>
      </c>
      <c r="D103" t="s">
        <v>89</v>
      </c>
    </row>
    <row r="104" spans="1:4" x14ac:dyDescent="0.3">
      <c r="A104" s="7">
        <v>312</v>
      </c>
      <c r="B104" t="s">
        <v>155</v>
      </c>
      <c r="C104" s="10" t="s">
        <v>155</v>
      </c>
      <c r="D104" t="s">
        <v>89</v>
      </c>
    </row>
    <row r="105" spans="1:4" x14ac:dyDescent="0.3">
      <c r="A105" s="7">
        <v>313</v>
      </c>
      <c r="B105" t="s">
        <v>156</v>
      </c>
      <c r="C105" s="10" t="s">
        <v>156</v>
      </c>
      <c r="D105" t="s">
        <v>89</v>
      </c>
    </row>
    <row r="106" spans="1:4" x14ac:dyDescent="0.3">
      <c r="A106" s="7">
        <v>316</v>
      </c>
      <c r="B106" t="s">
        <v>157</v>
      </c>
      <c r="C106" s="10" t="s">
        <v>157</v>
      </c>
      <c r="D106" t="s">
        <v>89</v>
      </c>
    </row>
    <row r="107" spans="1:4" x14ac:dyDescent="0.3">
      <c r="A107" s="7">
        <v>321</v>
      </c>
      <c r="B107" t="s">
        <v>158</v>
      </c>
      <c r="C107" s="10" t="s">
        <v>158</v>
      </c>
      <c r="D107" t="s">
        <v>89</v>
      </c>
    </row>
    <row r="108" spans="1:4" x14ac:dyDescent="0.3">
      <c r="A108" s="7">
        <v>317</v>
      </c>
      <c r="B108" t="s">
        <v>159</v>
      </c>
      <c r="C108" s="10" t="s">
        <v>159</v>
      </c>
      <c r="D108" t="s">
        <v>89</v>
      </c>
    </row>
    <row r="109" spans="1:4" x14ac:dyDescent="0.3">
      <c r="A109" s="7">
        <v>319</v>
      </c>
      <c r="B109" t="s">
        <v>162</v>
      </c>
      <c r="C109" s="10" t="s">
        <v>162</v>
      </c>
      <c r="D109" t="s">
        <v>89</v>
      </c>
    </row>
    <row r="110" spans="1:4" x14ac:dyDescent="0.3">
      <c r="A110" s="7">
        <v>288</v>
      </c>
      <c r="B110" t="s">
        <v>163</v>
      </c>
      <c r="C110" s="10" t="s">
        <v>163</v>
      </c>
    </row>
    <row r="111" spans="1:4" x14ac:dyDescent="0.3">
      <c r="A111" s="7">
        <v>327</v>
      </c>
      <c r="B111" t="s">
        <v>153</v>
      </c>
      <c r="C111" s="10" t="s">
        <v>153</v>
      </c>
      <c r="D111" t="s">
        <v>89</v>
      </c>
    </row>
    <row r="112" spans="1:4" x14ac:dyDescent="0.3">
      <c r="A112" s="7">
        <v>333</v>
      </c>
      <c r="B112" t="s">
        <v>172</v>
      </c>
      <c r="C112" s="10" t="s">
        <v>172</v>
      </c>
      <c r="D112" t="s">
        <v>89</v>
      </c>
    </row>
    <row r="113" spans="1:5" x14ac:dyDescent="0.3">
      <c r="A113" s="7">
        <v>334</v>
      </c>
      <c r="B113" t="s">
        <v>173</v>
      </c>
      <c r="C113" s="10" t="s">
        <v>173</v>
      </c>
      <c r="D113" t="s">
        <v>89</v>
      </c>
    </row>
    <row r="114" spans="1:5" x14ac:dyDescent="0.3">
      <c r="A114" s="7">
        <v>335</v>
      </c>
      <c r="B114" t="s">
        <v>174</v>
      </c>
      <c r="C114" s="10" t="s">
        <v>174</v>
      </c>
      <c r="D114" t="s">
        <v>89</v>
      </c>
    </row>
    <row r="115" spans="1:5" x14ac:dyDescent="0.3">
      <c r="A115" s="7">
        <v>340</v>
      </c>
      <c r="B115" t="s">
        <v>180</v>
      </c>
      <c r="C115" s="10" t="s">
        <v>180</v>
      </c>
      <c r="D115" t="s">
        <v>89</v>
      </c>
    </row>
    <row r="116" spans="1:5" x14ac:dyDescent="0.3">
      <c r="A116" s="7">
        <v>347</v>
      </c>
      <c r="B116" t="s">
        <v>182</v>
      </c>
      <c r="C116" s="10" t="s">
        <v>182</v>
      </c>
      <c r="D116" t="s">
        <v>89</v>
      </c>
    </row>
    <row r="117" spans="1:5" x14ac:dyDescent="0.3">
      <c r="A117" s="7">
        <v>341</v>
      </c>
      <c r="B117" t="s">
        <v>183</v>
      </c>
      <c r="C117" s="10" t="s">
        <v>183</v>
      </c>
      <c r="D117" t="s">
        <v>201</v>
      </c>
    </row>
    <row r="118" spans="1:5" x14ac:dyDescent="0.3">
      <c r="A118" s="7">
        <v>348</v>
      </c>
      <c r="B118" t="s">
        <v>185</v>
      </c>
      <c r="C118" s="10" t="s">
        <v>185</v>
      </c>
      <c r="D118" t="s">
        <v>89</v>
      </c>
    </row>
    <row r="119" spans="1:5" x14ac:dyDescent="0.3">
      <c r="A119" s="7">
        <v>350</v>
      </c>
      <c r="B119" t="s">
        <v>187</v>
      </c>
      <c r="C119" s="10" t="s">
        <v>187</v>
      </c>
      <c r="D119" t="s">
        <v>523</v>
      </c>
      <c r="E119" t="s">
        <v>468</v>
      </c>
    </row>
    <row r="120" spans="1:5" x14ac:dyDescent="0.3">
      <c r="A120" s="7">
        <v>359</v>
      </c>
      <c r="B120" t="s">
        <v>197</v>
      </c>
      <c r="C120" s="10" t="s">
        <v>197</v>
      </c>
      <c r="D120" t="s">
        <v>198</v>
      </c>
    </row>
    <row r="121" spans="1:5" x14ac:dyDescent="0.3">
      <c r="A121" s="7">
        <v>361</v>
      </c>
      <c r="B121" t="s">
        <v>200</v>
      </c>
      <c r="C121" s="10" t="s">
        <v>200</v>
      </c>
      <c r="D121" t="s">
        <v>201</v>
      </c>
    </row>
    <row r="122" spans="1:5" x14ac:dyDescent="0.3">
      <c r="A122" s="7">
        <v>364</v>
      </c>
      <c r="B122" t="s">
        <v>204</v>
      </c>
      <c r="C122" s="10" t="s">
        <v>204</v>
      </c>
      <c r="D122" t="s">
        <v>89</v>
      </c>
    </row>
    <row r="123" spans="1:5" x14ac:dyDescent="0.3">
      <c r="A123" s="7">
        <v>365</v>
      </c>
      <c r="B123" t="s">
        <v>205</v>
      </c>
      <c r="C123" s="10" t="s">
        <v>205</v>
      </c>
      <c r="D123" t="s">
        <v>89</v>
      </c>
    </row>
    <row r="124" spans="1:5" x14ac:dyDescent="0.3">
      <c r="A124" s="7">
        <v>366</v>
      </c>
      <c r="B124" t="s">
        <v>206</v>
      </c>
      <c r="C124" s="10" t="s">
        <v>206</v>
      </c>
      <c r="D124" t="s">
        <v>89</v>
      </c>
    </row>
    <row r="125" spans="1:5" x14ac:dyDescent="0.3">
      <c r="A125" s="7">
        <v>367</v>
      </c>
      <c r="B125" t="s">
        <v>207</v>
      </c>
      <c r="C125" s="10" t="s">
        <v>207</v>
      </c>
      <c r="D125" t="s">
        <v>89</v>
      </c>
    </row>
    <row r="126" spans="1:5" x14ac:dyDescent="0.3">
      <c r="A126" s="7">
        <v>368</v>
      </c>
      <c r="B126" t="s">
        <v>208</v>
      </c>
      <c r="C126" s="10" t="s">
        <v>208</v>
      </c>
      <c r="D126" t="s">
        <v>209</v>
      </c>
    </row>
    <row r="127" spans="1:5" x14ac:dyDescent="0.3">
      <c r="A127" s="7">
        <v>369</v>
      </c>
      <c r="B127" t="s">
        <v>210</v>
      </c>
      <c r="C127" s="10" t="s">
        <v>210</v>
      </c>
      <c r="D127" t="s">
        <v>89</v>
      </c>
    </row>
    <row r="128" spans="1:5" x14ac:dyDescent="0.3">
      <c r="A128" s="7">
        <v>371</v>
      </c>
      <c r="B128" t="s">
        <v>211</v>
      </c>
      <c r="C128" s="10" t="s">
        <v>211</v>
      </c>
      <c r="D128" t="s">
        <v>89</v>
      </c>
    </row>
    <row r="129" spans="1:5" x14ac:dyDescent="0.3">
      <c r="A129" s="7">
        <v>372</v>
      </c>
      <c r="B129" t="s">
        <v>212</v>
      </c>
      <c r="C129" s="10" t="s">
        <v>212</v>
      </c>
      <c r="D129" t="s">
        <v>89</v>
      </c>
    </row>
    <row r="130" spans="1:5" x14ac:dyDescent="0.3">
      <c r="A130" s="7">
        <v>374</v>
      </c>
      <c r="B130" t="s">
        <v>467</v>
      </c>
      <c r="C130" s="10" t="s">
        <v>467</v>
      </c>
      <c r="D130" t="s">
        <v>89</v>
      </c>
      <c r="E130" t="s">
        <v>468</v>
      </c>
    </row>
    <row r="131" spans="1:5" x14ac:dyDescent="0.3">
      <c r="A131" s="7">
        <v>376</v>
      </c>
      <c r="B131" t="s">
        <v>470</v>
      </c>
      <c r="C131" s="10" t="s">
        <v>470</v>
      </c>
      <c r="D131" t="s">
        <v>89</v>
      </c>
    </row>
    <row r="132" spans="1:5" x14ac:dyDescent="0.3">
      <c r="A132" s="7">
        <v>377</v>
      </c>
      <c r="B132" t="s">
        <v>471</v>
      </c>
      <c r="C132" s="10" t="s">
        <v>471</v>
      </c>
      <c r="D132" t="s">
        <v>89</v>
      </c>
    </row>
    <row r="133" spans="1:5" x14ac:dyDescent="0.3">
      <c r="A133" s="7">
        <v>378</v>
      </c>
      <c r="B133" t="s">
        <v>472</v>
      </c>
      <c r="C133" s="10" t="s">
        <v>472</v>
      </c>
      <c r="D133" t="s">
        <v>89</v>
      </c>
    </row>
    <row r="134" spans="1:5" x14ac:dyDescent="0.3">
      <c r="A134" s="7">
        <v>379</v>
      </c>
      <c r="B134" t="s">
        <v>473</v>
      </c>
      <c r="C134" s="10" t="s">
        <v>473</v>
      </c>
      <c r="D134" t="s">
        <v>89</v>
      </c>
    </row>
    <row r="135" spans="1:5" x14ac:dyDescent="0.3">
      <c r="A135" s="7">
        <v>380</v>
      </c>
      <c r="B135" t="s">
        <v>474</v>
      </c>
      <c r="C135" s="10" t="s">
        <v>474</v>
      </c>
      <c r="D135" t="s">
        <v>89</v>
      </c>
      <c r="E135" t="s">
        <v>468</v>
      </c>
    </row>
    <row r="136" spans="1:5" x14ac:dyDescent="0.3">
      <c r="A136" s="7">
        <v>381</v>
      </c>
      <c r="B136" t="s">
        <v>475</v>
      </c>
      <c r="C136" s="10" t="s">
        <v>475</v>
      </c>
      <c r="D136" t="s">
        <v>89</v>
      </c>
    </row>
    <row r="137" spans="1:5" x14ac:dyDescent="0.3">
      <c r="A137" s="7">
        <v>334</v>
      </c>
      <c r="B137" t="s">
        <v>525</v>
      </c>
      <c r="C137" s="10" t="s">
        <v>525</v>
      </c>
    </row>
    <row r="138" spans="1:5" x14ac:dyDescent="0.3">
      <c r="A138" s="7">
        <v>335</v>
      </c>
      <c r="B138" t="s">
        <v>526</v>
      </c>
      <c r="C138" s="10" t="s">
        <v>526</v>
      </c>
    </row>
    <row r="139" spans="1:5" x14ac:dyDescent="0.3">
      <c r="A139" s="7">
        <v>336</v>
      </c>
      <c r="B139" t="s">
        <v>527</v>
      </c>
      <c r="C139" s="10" t="s">
        <v>527</v>
      </c>
      <c r="D139" t="s">
        <v>89</v>
      </c>
    </row>
    <row r="140" spans="1:5" x14ac:dyDescent="0.3">
      <c r="A140" s="7">
        <v>337</v>
      </c>
      <c r="B140" t="s">
        <v>528</v>
      </c>
      <c r="C140" s="10" t="s">
        <v>528</v>
      </c>
      <c r="D140" t="s">
        <v>89</v>
      </c>
    </row>
    <row r="141" spans="1:5" x14ac:dyDescent="0.3">
      <c r="A141" s="7">
        <v>338</v>
      </c>
      <c r="B141" t="s">
        <v>529</v>
      </c>
      <c r="C141" s="10" t="s">
        <v>529</v>
      </c>
      <c r="D141" t="s">
        <v>89</v>
      </c>
    </row>
    <row r="142" spans="1:5" x14ac:dyDescent="0.3">
      <c r="A142" s="7">
        <v>339</v>
      </c>
      <c r="B142" t="s">
        <v>530</v>
      </c>
      <c r="C142" s="10" t="s">
        <v>530</v>
      </c>
      <c r="D142" t="s">
        <v>89</v>
      </c>
    </row>
    <row r="143" spans="1:5" x14ac:dyDescent="0.3">
      <c r="A143" s="7">
        <v>340</v>
      </c>
      <c r="B143" t="s">
        <v>531</v>
      </c>
      <c r="C143" s="10" t="s">
        <v>531</v>
      </c>
      <c r="D143" t="s">
        <v>89</v>
      </c>
    </row>
    <row r="144" spans="1:5" x14ac:dyDescent="0.3">
      <c r="A144" s="7">
        <v>341</v>
      </c>
      <c r="B144" t="s">
        <v>532</v>
      </c>
      <c r="C144" s="10" t="s">
        <v>532</v>
      </c>
      <c r="D144" t="s">
        <v>89</v>
      </c>
    </row>
    <row r="145" spans="1:5" x14ac:dyDescent="0.3">
      <c r="A145" s="7">
        <v>342</v>
      </c>
      <c r="B145" t="s">
        <v>137</v>
      </c>
      <c r="C145" s="10" t="s">
        <v>137</v>
      </c>
      <c r="D145" t="s">
        <v>89</v>
      </c>
    </row>
    <row r="146" spans="1:5" x14ac:dyDescent="0.3">
      <c r="A146" s="7">
        <v>343</v>
      </c>
      <c r="B146" t="s">
        <v>533</v>
      </c>
      <c r="C146" s="10" t="s">
        <v>533</v>
      </c>
      <c r="D146" t="s">
        <v>89</v>
      </c>
    </row>
    <row r="147" spans="1:5" x14ac:dyDescent="0.3">
      <c r="A147" s="7">
        <v>344</v>
      </c>
      <c r="B147" t="s">
        <v>534</v>
      </c>
      <c r="C147" s="10" t="s">
        <v>534</v>
      </c>
      <c r="D147" t="s">
        <v>89</v>
      </c>
    </row>
    <row r="148" spans="1:5" x14ac:dyDescent="0.3">
      <c r="A148" s="7">
        <v>345</v>
      </c>
      <c r="B148" t="s">
        <v>535</v>
      </c>
      <c r="C148" s="10" t="s">
        <v>535</v>
      </c>
      <c r="D148" t="s">
        <v>89</v>
      </c>
    </row>
    <row r="149" spans="1:5" x14ac:dyDescent="0.3">
      <c r="A149" s="7">
        <v>346</v>
      </c>
      <c r="B149" t="s">
        <v>536</v>
      </c>
      <c r="C149" s="10" t="s">
        <v>536</v>
      </c>
      <c r="D149" t="s">
        <v>89</v>
      </c>
    </row>
    <row r="150" spans="1:5" x14ac:dyDescent="0.3">
      <c r="A150" s="7">
        <v>347</v>
      </c>
      <c r="B150" t="s">
        <v>537</v>
      </c>
      <c r="C150" s="10" t="s">
        <v>537</v>
      </c>
      <c r="D150" t="s">
        <v>89</v>
      </c>
    </row>
    <row r="151" spans="1:5" x14ac:dyDescent="0.3">
      <c r="A151" s="7">
        <v>348</v>
      </c>
      <c r="B151" t="s">
        <v>538</v>
      </c>
      <c r="C151" s="10" t="s">
        <v>538</v>
      </c>
      <c r="D151" t="s">
        <v>89</v>
      </c>
    </row>
    <row r="152" spans="1:5" x14ac:dyDescent="0.3">
      <c r="A152" s="7">
        <v>349</v>
      </c>
      <c r="B152" t="s">
        <v>539</v>
      </c>
      <c r="C152" s="10" t="s">
        <v>539</v>
      </c>
      <c r="D152" t="s">
        <v>89</v>
      </c>
    </row>
    <row r="153" spans="1:5" x14ac:dyDescent="0.3">
      <c r="A153" s="7">
        <v>350</v>
      </c>
      <c r="B153" t="s">
        <v>540</v>
      </c>
      <c r="C153" s="10" t="s">
        <v>540</v>
      </c>
      <c r="D153" t="s">
        <v>89</v>
      </c>
    </row>
    <row r="154" spans="1:5" x14ac:dyDescent="0.3">
      <c r="A154" s="7">
        <v>351</v>
      </c>
      <c r="B154" t="s">
        <v>541</v>
      </c>
      <c r="C154" s="10" t="s">
        <v>541</v>
      </c>
      <c r="D154" t="s">
        <v>89</v>
      </c>
    </row>
    <row r="155" spans="1:5" x14ac:dyDescent="0.3">
      <c r="A155" s="7">
        <v>352</v>
      </c>
      <c r="B155" t="s">
        <v>542</v>
      </c>
      <c r="C155" s="10" t="s">
        <v>542</v>
      </c>
      <c r="D155" t="s">
        <v>89</v>
      </c>
    </row>
    <row r="156" spans="1:5" x14ac:dyDescent="0.3">
      <c r="A156" s="7">
        <v>353</v>
      </c>
      <c r="B156" t="s">
        <v>543</v>
      </c>
      <c r="C156" s="10" t="s">
        <v>543</v>
      </c>
      <c r="D156" t="s">
        <v>89</v>
      </c>
    </row>
    <row r="157" spans="1:5" x14ac:dyDescent="0.3">
      <c r="A157" s="7">
        <v>354</v>
      </c>
      <c r="B157" t="s">
        <v>544</v>
      </c>
      <c r="C157" s="10" t="s">
        <v>544</v>
      </c>
      <c r="D157" t="s">
        <v>89</v>
      </c>
    </row>
    <row r="158" spans="1:5" x14ac:dyDescent="0.3">
      <c r="A158" s="7"/>
      <c r="B158" t="s">
        <v>545</v>
      </c>
      <c r="C158" s="10" t="s">
        <v>545</v>
      </c>
      <c r="D158" t="s">
        <v>523</v>
      </c>
      <c r="E158" t="s">
        <v>468</v>
      </c>
    </row>
    <row r="159" spans="1:5" x14ac:dyDescent="0.3">
      <c r="A159" s="7">
        <v>358</v>
      </c>
      <c r="B159" t="s">
        <v>546</v>
      </c>
      <c r="C159" s="10" t="s">
        <v>546</v>
      </c>
      <c r="D159" t="s">
        <v>89</v>
      </c>
      <c r="E159" t="s">
        <v>468</v>
      </c>
    </row>
    <row r="160" spans="1:5" x14ac:dyDescent="0.3">
      <c r="A160" s="7">
        <v>359</v>
      </c>
      <c r="B160" t="s">
        <v>547</v>
      </c>
      <c r="C160" s="10" t="s">
        <v>547</v>
      </c>
      <c r="D160" t="s">
        <v>89</v>
      </c>
    </row>
    <row r="161" spans="1:5" x14ac:dyDescent="0.3">
      <c r="A161" s="7">
        <v>360</v>
      </c>
      <c r="B161" t="s">
        <v>548</v>
      </c>
      <c r="C161" s="10" t="s">
        <v>548</v>
      </c>
      <c r="D161" t="s">
        <v>89</v>
      </c>
      <c r="E161" t="s">
        <v>468</v>
      </c>
    </row>
    <row r="162" spans="1:5" x14ac:dyDescent="0.3">
      <c r="A162" s="7">
        <v>361</v>
      </c>
      <c r="B162" t="s">
        <v>549</v>
      </c>
      <c r="C162" s="10" t="s">
        <v>549</v>
      </c>
      <c r="D162" t="s">
        <v>89</v>
      </c>
      <c r="E162" t="s">
        <v>468</v>
      </c>
    </row>
    <row r="163" spans="1:5" x14ac:dyDescent="0.3">
      <c r="A163" s="7">
        <v>362</v>
      </c>
      <c r="B163" t="s">
        <v>550</v>
      </c>
      <c r="C163" s="10" t="s">
        <v>550</v>
      </c>
      <c r="D163" t="s">
        <v>89</v>
      </c>
      <c r="E163" t="s">
        <v>468</v>
      </c>
    </row>
    <row r="164" spans="1:5" x14ac:dyDescent="0.3">
      <c r="A164" s="7">
        <v>363</v>
      </c>
      <c r="B164" t="s">
        <v>551</v>
      </c>
      <c r="C164" s="10" t="s">
        <v>551</v>
      </c>
      <c r="D164" t="s">
        <v>89</v>
      </c>
      <c r="E164" t="s">
        <v>468</v>
      </c>
    </row>
    <row r="165" spans="1:5" x14ac:dyDescent="0.3">
      <c r="A165" s="7">
        <v>364</v>
      </c>
      <c r="B165" t="s">
        <v>552</v>
      </c>
      <c r="C165" s="10" t="s">
        <v>552</v>
      </c>
      <c r="D165" t="s">
        <v>89</v>
      </c>
      <c r="E165" t="s">
        <v>468</v>
      </c>
    </row>
    <row r="166" spans="1:5" x14ac:dyDescent="0.3">
      <c r="A166" s="7">
        <v>365</v>
      </c>
      <c r="B166" t="s">
        <v>553</v>
      </c>
      <c r="C166" s="10" t="s">
        <v>553</v>
      </c>
      <c r="D166" t="s">
        <v>554</v>
      </c>
      <c r="E166" t="s">
        <v>468</v>
      </c>
    </row>
    <row r="167" spans="1:5" x14ac:dyDescent="0.3">
      <c r="A167" s="7">
        <v>366</v>
      </c>
      <c r="B167" t="s">
        <v>555</v>
      </c>
      <c r="C167" s="10" t="s">
        <v>555</v>
      </c>
      <c r="D167" t="s">
        <v>89</v>
      </c>
      <c r="E167" t="s">
        <v>468</v>
      </c>
    </row>
    <row r="168" spans="1:5" x14ac:dyDescent="0.3">
      <c r="A168" s="7">
        <v>367</v>
      </c>
      <c r="B168" t="s">
        <v>556</v>
      </c>
      <c r="C168" s="10" t="s">
        <v>556</v>
      </c>
      <c r="D168" t="s">
        <v>89</v>
      </c>
      <c r="E168" t="s">
        <v>468</v>
      </c>
    </row>
    <row r="169" spans="1:5" x14ac:dyDescent="0.3">
      <c r="A169" s="7">
        <v>368</v>
      </c>
      <c r="B169" t="s">
        <v>557</v>
      </c>
      <c r="C169" s="10" t="s">
        <v>557</v>
      </c>
      <c r="D169" t="s">
        <v>89</v>
      </c>
      <c r="E169" t="s">
        <v>468</v>
      </c>
    </row>
    <row r="170" spans="1:5" x14ac:dyDescent="0.3">
      <c r="A170" s="7">
        <v>369</v>
      </c>
      <c r="B170" t="s">
        <v>499</v>
      </c>
      <c r="C170" s="10" t="s">
        <v>499</v>
      </c>
      <c r="D170" t="s">
        <v>89</v>
      </c>
      <c r="E170" t="s">
        <v>468</v>
      </c>
    </row>
    <row r="171" spans="1:5" x14ac:dyDescent="0.3">
      <c r="A171" s="7">
        <v>370</v>
      </c>
      <c r="B171" t="s">
        <v>558</v>
      </c>
      <c r="C171" s="10" t="s">
        <v>558</v>
      </c>
      <c r="D171" t="s">
        <v>89</v>
      </c>
      <c r="E171" t="s">
        <v>468</v>
      </c>
    </row>
    <row r="172" spans="1:5" x14ac:dyDescent="0.3">
      <c r="A172" s="7">
        <v>371</v>
      </c>
      <c r="B172" t="s">
        <v>559</v>
      </c>
      <c r="C172" s="10" t="s">
        <v>559</v>
      </c>
      <c r="D172" t="s">
        <v>89</v>
      </c>
      <c r="E172" t="s">
        <v>468</v>
      </c>
    </row>
  </sheetData>
  <phoneticPr fontId="19"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A8CC-3B92-4FAA-BB50-3DF826A1253F}">
  <dimension ref="A1:B88"/>
  <sheetViews>
    <sheetView workbookViewId="0">
      <pane ySplit="1" topLeftCell="A2" activePane="bottomLeft" state="frozen"/>
      <selection activeCell="H109" sqref="H109"/>
      <selection pane="bottomLeft" activeCell="H109" sqref="H109"/>
    </sheetView>
  </sheetViews>
  <sheetFormatPr defaultRowHeight="14.4" x14ac:dyDescent="0.3"/>
  <cols>
    <col min="1" max="1" width="13.6640625" bestFit="1" customWidth="1"/>
    <col min="2" max="2" width="24" bestFit="1" customWidth="1"/>
  </cols>
  <sheetData>
    <row r="1" spans="1:2" x14ac:dyDescent="0.3">
      <c r="A1" s="1" t="s">
        <v>213</v>
      </c>
      <c r="B1" s="1" t="s">
        <v>13</v>
      </c>
    </row>
    <row r="2" spans="1:2" x14ac:dyDescent="0.3">
      <c r="A2" s="6">
        <v>0</v>
      </c>
      <c r="B2" s="10" t="s">
        <v>46</v>
      </c>
    </row>
    <row r="3" spans="1:2" x14ac:dyDescent="0.3">
      <c r="A3" s="6">
        <v>201</v>
      </c>
      <c r="B3" s="10" t="s">
        <v>214</v>
      </c>
    </row>
    <row r="4" spans="1:2" x14ac:dyDescent="0.3">
      <c r="A4" s="6">
        <v>202</v>
      </c>
      <c r="B4" s="10" t="s">
        <v>215</v>
      </c>
    </row>
    <row r="5" spans="1:2" x14ac:dyDescent="0.3">
      <c r="A5" s="6">
        <v>203</v>
      </c>
      <c r="B5" s="10" t="s">
        <v>216</v>
      </c>
    </row>
    <row r="6" spans="1:2" x14ac:dyDescent="0.3">
      <c r="A6" s="6">
        <v>204</v>
      </c>
      <c r="B6" s="10" t="s">
        <v>217</v>
      </c>
    </row>
    <row r="7" spans="1:2" x14ac:dyDescent="0.3">
      <c r="A7" s="6">
        <v>205</v>
      </c>
      <c r="B7" s="10" t="s">
        <v>218</v>
      </c>
    </row>
    <row r="8" spans="1:2" x14ac:dyDescent="0.3">
      <c r="A8" s="6">
        <v>206</v>
      </c>
      <c r="B8" s="10" t="s">
        <v>219</v>
      </c>
    </row>
    <row r="9" spans="1:2" x14ac:dyDescent="0.3">
      <c r="A9" s="6">
        <v>207</v>
      </c>
      <c r="B9" s="10" t="s">
        <v>220</v>
      </c>
    </row>
    <row r="10" spans="1:2" x14ac:dyDescent="0.3">
      <c r="A10" s="6">
        <v>208</v>
      </c>
      <c r="B10" s="10" t="s">
        <v>221</v>
      </c>
    </row>
    <row r="11" spans="1:2" x14ac:dyDescent="0.3">
      <c r="A11" s="6">
        <v>209</v>
      </c>
      <c r="B11" s="10" t="s">
        <v>222</v>
      </c>
    </row>
    <row r="12" spans="1:2" x14ac:dyDescent="0.3">
      <c r="A12" s="6">
        <v>210</v>
      </c>
      <c r="B12" s="10" t="s">
        <v>223</v>
      </c>
    </row>
    <row r="13" spans="1:2" x14ac:dyDescent="0.3">
      <c r="A13" s="6">
        <v>211</v>
      </c>
      <c r="B13" s="10" t="s">
        <v>224</v>
      </c>
    </row>
    <row r="14" spans="1:2" x14ac:dyDescent="0.3">
      <c r="A14" s="6">
        <v>212</v>
      </c>
      <c r="B14" s="10" t="s">
        <v>225</v>
      </c>
    </row>
    <row r="15" spans="1:2" x14ac:dyDescent="0.3">
      <c r="A15" s="6">
        <v>213</v>
      </c>
      <c r="B15" s="10" t="s">
        <v>226</v>
      </c>
    </row>
    <row r="16" spans="1:2" x14ac:dyDescent="0.3">
      <c r="A16" s="6">
        <v>214</v>
      </c>
      <c r="B16" s="10" t="s">
        <v>227</v>
      </c>
    </row>
    <row r="17" spans="1:2" x14ac:dyDescent="0.3">
      <c r="A17" s="6">
        <v>215</v>
      </c>
      <c r="B17" s="10" t="s">
        <v>228</v>
      </c>
    </row>
    <row r="18" spans="1:2" x14ac:dyDescent="0.3">
      <c r="A18" s="6">
        <v>216</v>
      </c>
      <c r="B18" s="10" t="s">
        <v>229</v>
      </c>
    </row>
    <row r="19" spans="1:2" x14ac:dyDescent="0.3">
      <c r="A19" s="6">
        <v>217</v>
      </c>
      <c r="B19" s="10" t="s">
        <v>230</v>
      </c>
    </row>
    <row r="20" spans="1:2" x14ac:dyDescent="0.3">
      <c r="A20" s="6">
        <v>218</v>
      </c>
      <c r="B20" s="10" t="s">
        <v>231</v>
      </c>
    </row>
    <row r="21" spans="1:2" x14ac:dyDescent="0.3">
      <c r="A21" s="6">
        <v>219</v>
      </c>
      <c r="B21" s="10" t="s">
        <v>232</v>
      </c>
    </row>
    <row r="22" spans="1:2" x14ac:dyDescent="0.3">
      <c r="A22" s="6">
        <v>220</v>
      </c>
      <c r="B22" s="10" t="s">
        <v>233</v>
      </c>
    </row>
    <row r="23" spans="1:2" x14ac:dyDescent="0.3">
      <c r="A23" s="6">
        <v>221</v>
      </c>
      <c r="B23" s="10" t="s">
        <v>234</v>
      </c>
    </row>
    <row r="24" spans="1:2" x14ac:dyDescent="0.3">
      <c r="A24" s="6">
        <v>222</v>
      </c>
      <c r="B24" s="10" t="s">
        <v>235</v>
      </c>
    </row>
    <row r="25" spans="1:2" x14ac:dyDescent="0.3">
      <c r="A25" s="6">
        <v>223</v>
      </c>
      <c r="B25" s="10" t="s">
        <v>236</v>
      </c>
    </row>
    <row r="26" spans="1:2" x14ac:dyDescent="0.3">
      <c r="A26" s="6">
        <v>224</v>
      </c>
      <c r="B26" s="10" t="s">
        <v>237</v>
      </c>
    </row>
    <row r="27" spans="1:2" x14ac:dyDescent="0.3">
      <c r="A27" s="6">
        <v>225</v>
      </c>
      <c r="B27" s="10" t="s">
        <v>238</v>
      </c>
    </row>
    <row r="28" spans="1:2" x14ac:dyDescent="0.3">
      <c r="A28" s="6">
        <v>226</v>
      </c>
      <c r="B28" s="10" t="s">
        <v>239</v>
      </c>
    </row>
    <row r="29" spans="1:2" x14ac:dyDescent="0.3">
      <c r="A29" s="6">
        <v>227</v>
      </c>
      <c r="B29" s="10" t="s">
        <v>240</v>
      </c>
    </row>
    <row r="30" spans="1:2" x14ac:dyDescent="0.3">
      <c r="A30" s="6">
        <v>228</v>
      </c>
      <c r="B30" s="10" t="s">
        <v>241</v>
      </c>
    </row>
    <row r="31" spans="1:2" x14ac:dyDescent="0.3">
      <c r="A31" s="6">
        <v>229</v>
      </c>
      <c r="B31" s="10" t="s">
        <v>242</v>
      </c>
    </row>
    <row r="32" spans="1:2" x14ac:dyDescent="0.3">
      <c r="A32" s="6">
        <v>230</v>
      </c>
      <c r="B32" s="10" t="s">
        <v>243</v>
      </c>
    </row>
    <row r="33" spans="1:2" x14ac:dyDescent="0.3">
      <c r="A33" s="6">
        <v>231</v>
      </c>
      <c r="B33" s="10" t="s">
        <v>244</v>
      </c>
    </row>
    <row r="34" spans="1:2" x14ac:dyDescent="0.3">
      <c r="A34" s="6">
        <v>232</v>
      </c>
      <c r="B34" s="10" t="s">
        <v>245</v>
      </c>
    </row>
    <row r="35" spans="1:2" x14ac:dyDescent="0.3">
      <c r="A35" s="6">
        <v>233</v>
      </c>
      <c r="B35" s="10" t="s">
        <v>246</v>
      </c>
    </row>
    <row r="36" spans="1:2" x14ac:dyDescent="0.3">
      <c r="A36" s="6">
        <v>234</v>
      </c>
      <c r="B36" s="10" t="s">
        <v>247</v>
      </c>
    </row>
    <row r="37" spans="1:2" x14ac:dyDescent="0.3">
      <c r="A37" s="6">
        <v>235</v>
      </c>
      <c r="B37" s="10" t="s">
        <v>248</v>
      </c>
    </row>
    <row r="38" spans="1:2" x14ac:dyDescent="0.3">
      <c r="A38" s="6">
        <v>236</v>
      </c>
      <c r="B38" s="10" t="s">
        <v>249</v>
      </c>
    </row>
    <row r="39" spans="1:2" x14ac:dyDescent="0.3">
      <c r="A39" s="6">
        <v>237</v>
      </c>
      <c r="B39" s="10" t="s">
        <v>250</v>
      </c>
    </row>
    <row r="40" spans="1:2" x14ac:dyDescent="0.3">
      <c r="A40" s="6">
        <v>238</v>
      </c>
      <c r="B40" s="10" t="s">
        <v>251</v>
      </c>
    </row>
    <row r="41" spans="1:2" x14ac:dyDescent="0.3">
      <c r="A41" s="6">
        <v>239</v>
      </c>
      <c r="B41" s="10" t="s">
        <v>252</v>
      </c>
    </row>
    <row r="42" spans="1:2" x14ac:dyDescent="0.3">
      <c r="A42" s="6">
        <v>240</v>
      </c>
      <c r="B42" s="10" t="s">
        <v>253</v>
      </c>
    </row>
    <row r="43" spans="1:2" x14ac:dyDescent="0.3">
      <c r="A43" s="6">
        <v>241</v>
      </c>
      <c r="B43" s="10" t="s">
        <v>254</v>
      </c>
    </row>
    <row r="44" spans="1:2" x14ac:dyDescent="0.3">
      <c r="A44" s="6">
        <v>242</v>
      </c>
      <c r="B44" s="10" t="s">
        <v>31</v>
      </c>
    </row>
    <row r="45" spans="1:2" x14ac:dyDescent="0.3">
      <c r="A45" s="6">
        <v>243</v>
      </c>
      <c r="B45" s="10" t="s">
        <v>255</v>
      </c>
    </row>
    <row r="46" spans="1:2" x14ac:dyDescent="0.3">
      <c r="A46" s="6">
        <v>244</v>
      </c>
      <c r="B46" s="10" t="s">
        <v>256</v>
      </c>
    </row>
    <row r="47" spans="1:2" x14ac:dyDescent="0.3">
      <c r="A47" s="6">
        <v>245</v>
      </c>
      <c r="B47" s="10" t="s">
        <v>257</v>
      </c>
    </row>
    <row r="48" spans="1:2" x14ac:dyDescent="0.3">
      <c r="A48" s="6">
        <v>246</v>
      </c>
      <c r="B48" s="10" t="s">
        <v>258</v>
      </c>
    </row>
    <row r="49" spans="1:2" x14ac:dyDescent="0.3">
      <c r="A49" s="6">
        <v>247</v>
      </c>
      <c r="B49" s="10" t="s">
        <v>259</v>
      </c>
    </row>
    <row r="50" spans="1:2" x14ac:dyDescent="0.3">
      <c r="A50" s="6">
        <v>248</v>
      </c>
      <c r="B50" s="10" t="s">
        <v>260</v>
      </c>
    </row>
    <row r="51" spans="1:2" x14ac:dyDescent="0.3">
      <c r="A51" s="6">
        <v>249</v>
      </c>
      <c r="B51" s="10" t="s">
        <v>261</v>
      </c>
    </row>
    <row r="52" spans="1:2" x14ac:dyDescent="0.3">
      <c r="A52" s="6">
        <v>250</v>
      </c>
      <c r="B52" s="10" t="s">
        <v>262</v>
      </c>
    </row>
    <row r="53" spans="1:2" x14ac:dyDescent="0.3">
      <c r="A53" s="6">
        <v>251</v>
      </c>
      <c r="B53" s="10" t="s">
        <v>263</v>
      </c>
    </row>
    <row r="54" spans="1:2" x14ac:dyDescent="0.3">
      <c r="A54" s="6">
        <v>252</v>
      </c>
      <c r="B54" s="10" t="s">
        <v>264</v>
      </c>
    </row>
    <row r="55" spans="1:2" x14ac:dyDescent="0.3">
      <c r="A55" s="6">
        <v>253</v>
      </c>
      <c r="B55" s="10" t="s">
        <v>265</v>
      </c>
    </row>
    <row r="56" spans="1:2" x14ac:dyDescent="0.3">
      <c r="A56" s="6">
        <v>254</v>
      </c>
      <c r="B56" s="10" t="s">
        <v>266</v>
      </c>
    </row>
    <row r="57" spans="1:2" x14ac:dyDescent="0.3">
      <c r="A57" s="6">
        <v>255</v>
      </c>
      <c r="B57" s="10" t="s">
        <v>267</v>
      </c>
    </row>
    <row r="58" spans="1:2" x14ac:dyDescent="0.3">
      <c r="A58" s="6">
        <v>256</v>
      </c>
      <c r="B58" s="10" t="s">
        <v>268</v>
      </c>
    </row>
    <row r="59" spans="1:2" x14ac:dyDescent="0.3">
      <c r="A59" s="6">
        <v>257</v>
      </c>
      <c r="B59" s="10" t="s">
        <v>269</v>
      </c>
    </row>
    <row r="60" spans="1:2" x14ac:dyDescent="0.3">
      <c r="A60" s="6">
        <v>258</v>
      </c>
      <c r="B60" s="10" t="s">
        <v>270</v>
      </c>
    </row>
    <row r="61" spans="1:2" x14ac:dyDescent="0.3">
      <c r="A61" s="6">
        <v>259</v>
      </c>
      <c r="B61" s="10" t="s">
        <v>271</v>
      </c>
    </row>
    <row r="62" spans="1:2" x14ac:dyDescent="0.3">
      <c r="A62" s="6">
        <v>260</v>
      </c>
      <c r="B62" s="10" t="s">
        <v>272</v>
      </c>
    </row>
    <row r="63" spans="1:2" x14ac:dyDescent="0.3">
      <c r="A63" s="6">
        <v>261</v>
      </c>
      <c r="B63" s="10" t="s">
        <v>273</v>
      </c>
    </row>
    <row r="64" spans="1:2" x14ac:dyDescent="0.3">
      <c r="A64" s="6">
        <v>700</v>
      </c>
      <c r="B64" s="10" t="s">
        <v>274</v>
      </c>
    </row>
    <row r="65" spans="1:2" x14ac:dyDescent="0.3">
      <c r="A65" s="6">
        <v>263</v>
      </c>
      <c r="B65" s="10" t="s">
        <v>275</v>
      </c>
    </row>
    <row r="66" spans="1:2" x14ac:dyDescent="0.3">
      <c r="A66" s="6">
        <v>264</v>
      </c>
      <c r="B66" s="10" t="s">
        <v>276</v>
      </c>
    </row>
    <row r="67" spans="1:2" x14ac:dyDescent="0.3">
      <c r="A67" s="6">
        <v>265</v>
      </c>
      <c r="B67" s="10" t="s">
        <v>277</v>
      </c>
    </row>
    <row r="68" spans="1:2" x14ac:dyDescent="0.3">
      <c r="A68" s="6">
        <v>266</v>
      </c>
      <c r="B68" s="10" t="s">
        <v>278</v>
      </c>
    </row>
    <row r="69" spans="1:2" x14ac:dyDescent="0.3">
      <c r="A69" s="6">
        <v>267</v>
      </c>
      <c r="B69" s="10" t="s">
        <v>279</v>
      </c>
    </row>
    <row r="70" spans="1:2" x14ac:dyDescent="0.3">
      <c r="A70" s="6">
        <v>268</v>
      </c>
      <c r="B70" s="10" t="s">
        <v>280</v>
      </c>
    </row>
    <row r="71" spans="1:2" x14ac:dyDescent="0.3">
      <c r="A71" s="6">
        <v>269</v>
      </c>
      <c r="B71" s="10" t="s">
        <v>281</v>
      </c>
    </row>
    <row r="72" spans="1:2" x14ac:dyDescent="0.3">
      <c r="A72" s="6">
        <v>270</v>
      </c>
      <c r="B72" s="10" t="s">
        <v>282</v>
      </c>
    </row>
    <row r="73" spans="1:2" x14ac:dyDescent="0.3">
      <c r="A73" s="6">
        <v>271</v>
      </c>
      <c r="B73" s="10" t="s">
        <v>283</v>
      </c>
    </row>
    <row r="74" spans="1:2" x14ac:dyDescent="0.3">
      <c r="A74" s="6">
        <v>272</v>
      </c>
      <c r="B74" s="10" t="s">
        <v>39</v>
      </c>
    </row>
    <row r="75" spans="1:2" x14ac:dyDescent="0.3">
      <c r="A75" s="6">
        <v>273</v>
      </c>
      <c r="B75" s="10" t="s">
        <v>54</v>
      </c>
    </row>
    <row r="76" spans="1:2" x14ac:dyDescent="0.3">
      <c r="A76" s="6">
        <v>274</v>
      </c>
      <c r="B76" s="10" t="s">
        <v>284</v>
      </c>
    </row>
    <row r="77" spans="1:2" x14ac:dyDescent="0.3">
      <c r="A77" s="6">
        <v>275</v>
      </c>
      <c r="B77" s="10" t="s">
        <v>31</v>
      </c>
    </row>
    <row r="78" spans="1:2" x14ac:dyDescent="0.3">
      <c r="A78" s="6">
        <v>276</v>
      </c>
      <c r="B78" s="10" t="s">
        <v>285</v>
      </c>
    </row>
    <row r="79" spans="1:2" x14ac:dyDescent="0.3">
      <c r="A79" s="6">
        <v>277</v>
      </c>
      <c r="B79" s="10" t="s">
        <v>286</v>
      </c>
    </row>
    <row r="80" spans="1:2" x14ac:dyDescent="0.3">
      <c r="A80" s="6">
        <v>278</v>
      </c>
      <c r="B80" s="10" t="s">
        <v>36</v>
      </c>
    </row>
    <row r="81" spans="1:2" x14ac:dyDescent="0.3">
      <c r="A81" s="6">
        <v>279</v>
      </c>
      <c r="B81" s="10" t="s">
        <v>287</v>
      </c>
    </row>
    <row r="82" spans="1:2" x14ac:dyDescent="0.3">
      <c r="A82" s="6">
        <v>280</v>
      </c>
      <c r="B82" s="10" t="s">
        <v>288</v>
      </c>
    </row>
    <row r="83" spans="1:2" x14ac:dyDescent="0.3">
      <c r="A83" s="6">
        <v>281</v>
      </c>
      <c r="B83" s="10" t="s">
        <v>289</v>
      </c>
    </row>
    <row r="84" spans="1:2" x14ac:dyDescent="0.3">
      <c r="A84" s="6">
        <v>282</v>
      </c>
      <c r="B84" s="10" t="s">
        <v>41</v>
      </c>
    </row>
    <row r="85" spans="1:2" x14ac:dyDescent="0.3">
      <c r="A85" s="6">
        <v>283</v>
      </c>
      <c r="B85" s="10" t="s">
        <v>43</v>
      </c>
    </row>
    <row r="86" spans="1:2" x14ac:dyDescent="0.3">
      <c r="A86" s="6">
        <v>284</v>
      </c>
      <c r="B86" s="10" t="s">
        <v>290</v>
      </c>
    </row>
    <row r="87" spans="1:2" x14ac:dyDescent="0.3">
      <c r="A87" s="6">
        <v>658</v>
      </c>
      <c r="B87" s="10" t="s">
        <v>291</v>
      </c>
    </row>
    <row r="88" spans="1:2" x14ac:dyDescent="0.3">
      <c r="A88" s="6">
        <v>285</v>
      </c>
      <c r="B88" s="10" t="s">
        <v>45</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2DD2D-3727-44DD-9A46-B0CF3080A666}">
  <dimension ref="A1:B48"/>
  <sheetViews>
    <sheetView topLeftCell="A2" workbookViewId="0">
      <selection activeCell="H109" sqref="H109"/>
    </sheetView>
  </sheetViews>
  <sheetFormatPr defaultRowHeight="14.4" x14ac:dyDescent="0.3"/>
  <cols>
    <col min="1" max="1" width="14.6640625" bestFit="1" customWidth="1"/>
    <col min="2" max="2" width="21.33203125" bestFit="1" customWidth="1"/>
    <col min="3" max="3" width="12.6640625" bestFit="1" customWidth="1"/>
  </cols>
  <sheetData>
    <row r="1" spans="1:2" x14ac:dyDescent="0.3">
      <c r="A1" s="1" t="s">
        <v>292</v>
      </c>
      <c r="B1" s="1" t="s">
        <v>293</v>
      </c>
    </row>
    <row r="2" spans="1:2" x14ac:dyDescent="0.3">
      <c r="A2">
        <v>1318</v>
      </c>
      <c r="B2" s="10" t="s">
        <v>214</v>
      </c>
    </row>
    <row r="3" spans="1:2" x14ac:dyDescent="0.3">
      <c r="A3">
        <v>1328</v>
      </c>
      <c r="B3" s="10" t="s">
        <v>215</v>
      </c>
    </row>
    <row r="4" spans="1:2" x14ac:dyDescent="0.3">
      <c r="A4">
        <v>1337</v>
      </c>
      <c r="B4" s="10" t="s">
        <v>294</v>
      </c>
    </row>
    <row r="5" spans="1:2" x14ac:dyDescent="0.3">
      <c r="A5">
        <v>1345</v>
      </c>
      <c r="B5" s="10" t="s">
        <v>295</v>
      </c>
    </row>
    <row r="6" spans="1:2" x14ac:dyDescent="0.3">
      <c r="A6">
        <v>1346</v>
      </c>
      <c r="B6" s="10" t="s">
        <v>223</v>
      </c>
    </row>
    <row r="7" spans="1:2" x14ac:dyDescent="0.3">
      <c r="A7">
        <v>1347</v>
      </c>
      <c r="B7" s="10" t="s">
        <v>224</v>
      </c>
    </row>
    <row r="8" spans="1:2" x14ac:dyDescent="0.3">
      <c r="A8">
        <v>1348</v>
      </c>
      <c r="B8" s="10" t="s">
        <v>296</v>
      </c>
    </row>
    <row r="9" spans="1:2" x14ac:dyDescent="0.3">
      <c r="A9">
        <v>1349</v>
      </c>
      <c r="B9" s="10" t="s">
        <v>297</v>
      </c>
    </row>
    <row r="10" spans="1:2" x14ac:dyDescent="0.3">
      <c r="A10">
        <v>1350</v>
      </c>
      <c r="B10" s="10" t="s">
        <v>298</v>
      </c>
    </row>
    <row r="11" spans="1:2" x14ac:dyDescent="0.3">
      <c r="A11">
        <v>1351</v>
      </c>
      <c r="B11" s="10" t="s">
        <v>299</v>
      </c>
    </row>
    <row r="12" spans="1:2" x14ac:dyDescent="0.3">
      <c r="A12">
        <v>1352</v>
      </c>
      <c r="B12" s="10" t="s">
        <v>300</v>
      </c>
    </row>
    <row r="13" spans="1:2" x14ac:dyDescent="0.3">
      <c r="A13">
        <v>1353</v>
      </c>
      <c r="B13" s="10" t="s">
        <v>301</v>
      </c>
    </row>
    <row r="14" spans="1:2" x14ac:dyDescent="0.3">
      <c r="A14">
        <v>1354</v>
      </c>
      <c r="B14" s="10" t="s">
        <v>302</v>
      </c>
    </row>
    <row r="15" spans="1:2" x14ac:dyDescent="0.3">
      <c r="A15">
        <v>1355</v>
      </c>
      <c r="B15" s="10" t="s">
        <v>303</v>
      </c>
    </row>
    <row r="16" spans="1:2" x14ac:dyDescent="0.3">
      <c r="A16">
        <v>1356</v>
      </c>
      <c r="B16" s="10" t="s">
        <v>304</v>
      </c>
    </row>
    <row r="17" spans="1:2" x14ac:dyDescent="0.3">
      <c r="A17">
        <v>1357</v>
      </c>
      <c r="B17" s="10" t="s">
        <v>305</v>
      </c>
    </row>
    <row r="18" spans="1:2" x14ac:dyDescent="0.3">
      <c r="A18">
        <v>1358</v>
      </c>
      <c r="B18" s="10" t="s">
        <v>306</v>
      </c>
    </row>
    <row r="19" spans="1:2" x14ac:dyDescent="0.3">
      <c r="A19">
        <v>1359</v>
      </c>
      <c r="B19" s="10" t="s">
        <v>307</v>
      </c>
    </row>
    <row r="20" spans="1:2" x14ac:dyDescent="0.3">
      <c r="A20">
        <v>1360</v>
      </c>
      <c r="B20" s="10" t="s">
        <v>308</v>
      </c>
    </row>
    <row r="21" spans="1:2" x14ac:dyDescent="0.3">
      <c r="A21">
        <v>1361</v>
      </c>
      <c r="B21" s="10" t="s">
        <v>309</v>
      </c>
    </row>
    <row r="22" spans="1:2" x14ac:dyDescent="0.3">
      <c r="A22">
        <v>1362</v>
      </c>
      <c r="B22" s="10" t="s">
        <v>310</v>
      </c>
    </row>
    <row r="23" spans="1:2" x14ac:dyDescent="0.3">
      <c r="A23">
        <v>1363</v>
      </c>
      <c r="B23" s="10" t="s">
        <v>311</v>
      </c>
    </row>
    <row r="24" spans="1:2" x14ac:dyDescent="0.3">
      <c r="A24">
        <v>1364</v>
      </c>
      <c r="B24" s="10" t="s">
        <v>312</v>
      </c>
    </row>
    <row r="25" spans="1:2" x14ac:dyDescent="0.3">
      <c r="A25">
        <v>1365</v>
      </c>
      <c r="B25" s="10" t="s">
        <v>313</v>
      </c>
    </row>
    <row r="26" spans="1:2" x14ac:dyDescent="0.3">
      <c r="A26">
        <v>1366</v>
      </c>
      <c r="B26" s="10" t="s">
        <v>314</v>
      </c>
    </row>
    <row r="27" spans="1:2" x14ac:dyDescent="0.3">
      <c r="A27">
        <v>1367</v>
      </c>
      <c r="B27" s="10" t="s">
        <v>315</v>
      </c>
    </row>
    <row r="28" spans="1:2" x14ac:dyDescent="0.3">
      <c r="A28">
        <v>1368</v>
      </c>
      <c r="B28" s="10" t="s">
        <v>316</v>
      </c>
    </row>
    <row r="29" spans="1:2" x14ac:dyDescent="0.3">
      <c r="A29">
        <v>1369</v>
      </c>
      <c r="B29" s="10" t="s">
        <v>317</v>
      </c>
    </row>
    <row r="30" spans="1:2" x14ac:dyDescent="0.3">
      <c r="A30">
        <v>1370</v>
      </c>
      <c r="B30" s="10" t="s">
        <v>318</v>
      </c>
    </row>
    <row r="31" spans="1:2" x14ac:dyDescent="0.3">
      <c r="A31">
        <v>1371</v>
      </c>
      <c r="B31" s="10" t="s">
        <v>319</v>
      </c>
    </row>
    <row r="32" spans="1:2" x14ac:dyDescent="0.3">
      <c r="A32">
        <v>1372</v>
      </c>
      <c r="B32" s="10" t="s">
        <v>306</v>
      </c>
    </row>
    <row r="33" spans="1:2" x14ac:dyDescent="0.3">
      <c r="A33">
        <v>1373</v>
      </c>
      <c r="B33" s="10" t="s">
        <v>320</v>
      </c>
    </row>
    <row r="34" spans="1:2" x14ac:dyDescent="0.3">
      <c r="A34">
        <v>834</v>
      </c>
      <c r="B34" s="10" t="s">
        <v>32</v>
      </c>
    </row>
    <row r="35" spans="1:2" x14ac:dyDescent="0.3">
      <c r="A35">
        <v>373</v>
      </c>
      <c r="B35" s="10" t="s">
        <v>321</v>
      </c>
    </row>
    <row r="36" spans="1:2" x14ac:dyDescent="0.3">
      <c r="A36">
        <v>1338</v>
      </c>
      <c r="B36" s="10" t="s">
        <v>322</v>
      </c>
    </row>
    <row r="37" spans="1:2" x14ac:dyDescent="0.3">
      <c r="A37">
        <v>1377</v>
      </c>
      <c r="B37" s="10" t="s">
        <v>46</v>
      </c>
    </row>
    <row r="38" spans="1:2" x14ac:dyDescent="0.3">
      <c r="A38">
        <v>1378</v>
      </c>
      <c r="B38" s="10" t="s">
        <v>323</v>
      </c>
    </row>
    <row r="39" spans="1:2" x14ac:dyDescent="0.3">
      <c r="A39">
        <v>658</v>
      </c>
      <c r="B39" s="10" t="s">
        <v>291</v>
      </c>
    </row>
    <row r="40" spans="1:2" x14ac:dyDescent="0.3">
      <c r="A40">
        <v>991</v>
      </c>
      <c r="B40" s="10" t="s">
        <v>324</v>
      </c>
    </row>
    <row r="41" spans="1:2" x14ac:dyDescent="0.3">
      <c r="A41">
        <v>823</v>
      </c>
      <c r="B41" s="10" t="s">
        <v>325</v>
      </c>
    </row>
    <row r="42" spans="1:2" x14ac:dyDescent="0.3">
      <c r="A42">
        <v>1748</v>
      </c>
      <c r="B42" s="10" t="s">
        <v>326</v>
      </c>
    </row>
    <row r="43" spans="1:2" x14ac:dyDescent="0.3">
      <c r="A43">
        <v>1747</v>
      </c>
      <c r="B43" s="10" t="s">
        <v>40</v>
      </c>
    </row>
    <row r="44" spans="1:2" x14ac:dyDescent="0.3">
      <c r="A44">
        <v>1741</v>
      </c>
      <c r="B44" s="10" t="s">
        <v>55</v>
      </c>
    </row>
    <row r="45" spans="1:2" x14ac:dyDescent="0.3">
      <c r="A45">
        <v>1749</v>
      </c>
      <c r="B45" s="10" t="s">
        <v>42</v>
      </c>
    </row>
    <row r="46" spans="1:2" x14ac:dyDescent="0.3">
      <c r="A46">
        <v>343</v>
      </c>
      <c r="B46" s="10" t="s">
        <v>44</v>
      </c>
    </row>
    <row r="47" spans="1:2" x14ac:dyDescent="0.3">
      <c r="A47">
        <v>1750</v>
      </c>
      <c r="B47" s="10" t="s">
        <v>37</v>
      </c>
    </row>
    <row r="48" spans="1:2" x14ac:dyDescent="0.3">
      <c r="A48">
        <v>700</v>
      </c>
      <c r="B48" s="10" t="s">
        <v>274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5E36D-4E9D-4125-8CE1-C23D54775111}">
  <dimension ref="A1:B5"/>
  <sheetViews>
    <sheetView workbookViewId="0">
      <pane ySplit="1" topLeftCell="A2" activePane="bottomLeft" state="frozen"/>
      <selection activeCell="H109" sqref="H109"/>
      <selection pane="bottomLeft" activeCell="H109" sqref="H109"/>
    </sheetView>
  </sheetViews>
  <sheetFormatPr defaultRowHeight="14.4" x14ac:dyDescent="0.3"/>
  <cols>
    <col min="1" max="1" width="11.44140625" bestFit="1" customWidth="1"/>
    <col min="2" max="2" width="11" bestFit="1" customWidth="1"/>
    <col min="4" max="4" width="51.6640625" customWidth="1"/>
  </cols>
  <sheetData>
    <row r="1" spans="1:2" x14ac:dyDescent="0.3">
      <c r="A1" s="1" t="s">
        <v>0</v>
      </c>
      <c r="B1" s="1" t="s">
        <v>17</v>
      </c>
    </row>
    <row r="2" spans="1:2" x14ac:dyDescent="0.3">
      <c r="A2">
        <v>1</v>
      </c>
      <c r="B2" s="6" t="s">
        <v>33</v>
      </c>
    </row>
    <row r="3" spans="1:2" x14ac:dyDescent="0.3">
      <c r="A3">
        <v>2</v>
      </c>
      <c r="B3" s="6" t="s">
        <v>327</v>
      </c>
    </row>
    <row r="4" spans="1:2" x14ac:dyDescent="0.3">
      <c r="A4">
        <v>3</v>
      </c>
      <c r="B4" s="6" t="s">
        <v>328</v>
      </c>
    </row>
    <row r="5" spans="1:2" x14ac:dyDescent="0.3">
      <c r="A5">
        <v>4</v>
      </c>
      <c r="B5" s="6" t="s">
        <v>329</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7C9C5-CAE7-40B0-8139-8DBC763BCC00}">
  <dimension ref="A1:Q49"/>
  <sheetViews>
    <sheetView tabSelected="1" zoomScaleNormal="100" workbookViewId="0">
      <pane ySplit="1" topLeftCell="A22" activePane="bottomLeft" state="frozen"/>
      <selection pane="bottomLeft" activeCell="C58" sqref="C58"/>
    </sheetView>
  </sheetViews>
  <sheetFormatPr defaultRowHeight="14.4" outlineLevelCol="1" x14ac:dyDescent="0.3"/>
  <cols>
    <col min="1" max="1" width="23.21875" customWidth="1"/>
    <col min="2" max="2" width="11.33203125" customWidth="1"/>
    <col min="3" max="3" width="23.33203125" customWidth="1"/>
    <col min="4" max="4" width="26.88671875" customWidth="1"/>
    <col min="5" max="5" width="10.6640625" customWidth="1" outlineLevel="1"/>
    <col min="6" max="6" width="19.109375" customWidth="1" outlineLevel="1"/>
    <col min="7" max="7" width="12.33203125" customWidth="1" outlineLevel="1"/>
    <col min="8" max="8" width="11.33203125" customWidth="1" outlineLevel="1"/>
    <col min="9" max="9" width="14.33203125" customWidth="1" outlineLevel="1"/>
    <col min="10" max="10" width="11.109375" customWidth="1" outlineLevel="1"/>
    <col min="11" max="11" width="23.44140625" customWidth="1" outlineLevel="1"/>
    <col min="12" max="12" width="13.33203125" customWidth="1" outlineLevel="1"/>
    <col min="13" max="16" width="12.6640625" customWidth="1" outlineLevel="1"/>
    <col min="17" max="17" width="56.109375" customWidth="1"/>
  </cols>
  <sheetData>
    <row r="1" spans="1:17" ht="42.6" customHeight="1" x14ac:dyDescent="0.3">
      <c r="A1" s="27" t="s">
        <v>330</v>
      </c>
      <c r="B1" s="27" t="s">
        <v>331</v>
      </c>
      <c r="C1" s="28" t="s">
        <v>332</v>
      </c>
      <c r="D1" s="28" t="s">
        <v>333</v>
      </c>
      <c r="E1" s="28" t="s">
        <v>334</v>
      </c>
      <c r="F1" s="8" t="s">
        <v>335</v>
      </c>
      <c r="G1" s="8" t="s">
        <v>336</v>
      </c>
      <c r="H1" s="8" t="s">
        <v>337</v>
      </c>
      <c r="I1" s="8" t="s">
        <v>338</v>
      </c>
      <c r="J1" s="8" t="s">
        <v>339</v>
      </c>
      <c r="K1" s="4" t="s">
        <v>340</v>
      </c>
      <c r="L1" s="4" t="s">
        <v>341</v>
      </c>
      <c r="M1" s="4" t="s">
        <v>342</v>
      </c>
      <c r="N1" s="4" t="s">
        <v>343</v>
      </c>
      <c r="O1" s="4" t="s">
        <v>344</v>
      </c>
      <c r="P1" s="4" t="s">
        <v>345</v>
      </c>
      <c r="Q1" s="27" t="s">
        <v>346</v>
      </c>
    </row>
    <row r="2" spans="1:17" hidden="1" x14ac:dyDescent="0.3">
      <c r="A2" s="9" t="s">
        <v>347</v>
      </c>
      <c r="B2" s="7">
        <v>1</v>
      </c>
      <c r="C2" s="40" t="s">
        <v>0</v>
      </c>
      <c r="D2" s="18" t="s">
        <v>348</v>
      </c>
      <c r="E2" s="19" t="s">
        <v>349</v>
      </c>
      <c r="F2" s="20" t="s">
        <v>350</v>
      </c>
      <c r="G2" s="20" t="s">
        <v>29</v>
      </c>
      <c r="H2" s="21" t="s">
        <v>35</v>
      </c>
      <c r="I2" s="21" t="s">
        <v>35</v>
      </c>
      <c r="J2" s="21" t="s">
        <v>35</v>
      </c>
      <c r="K2" s="22" t="s">
        <v>89</v>
      </c>
      <c r="L2" s="22" t="s">
        <v>35</v>
      </c>
      <c r="M2" s="22" t="s">
        <v>351</v>
      </c>
      <c r="N2" s="22" t="s">
        <v>352</v>
      </c>
      <c r="O2" s="22" t="s">
        <v>352</v>
      </c>
      <c r="P2" s="22" t="s">
        <v>35</v>
      </c>
      <c r="Q2" s="23" t="s">
        <v>353</v>
      </c>
    </row>
    <row r="3" spans="1:17" hidden="1" x14ac:dyDescent="0.3">
      <c r="A3" s="9" t="s">
        <v>347</v>
      </c>
      <c r="B3" s="7">
        <v>2</v>
      </c>
      <c r="C3" s="40" t="s">
        <v>1</v>
      </c>
      <c r="D3" s="18" t="s">
        <v>354</v>
      </c>
      <c r="E3" s="19" t="s">
        <v>349</v>
      </c>
      <c r="F3" s="20" t="s">
        <v>350</v>
      </c>
      <c r="G3" s="20" t="s">
        <v>35</v>
      </c>
      <c r="H3" s="21" t="s">
        <v>29</v>
      </c>
      <c r="I3" s="21" t="s">
        <v>35</v>
      </c>
      <c r="J3" s="21" t="s">
        <v>35</v>
      </c>
      <c r="K3" s="22" t="s">
        <v>89</v>
      </c>
      <c r="L3" s="22" t="s">
        <v>35</v>
      </c>
      <c r="M3" s="22" t="s">
        <v>351</v>
      </c>
      <c r="N3" s="22" t="s">
        <v>352</v>
      </c>
      <c r="O3" s="22" t="s">
        <v>352</v>
      </c>
      <c r="P3" s="22" t="s">
        <v>35</v>
      </c>
      <c r="Q3" s="23" t="s">
        <v>355</v>
      </c>
    </row>
    <row r="4" spans="1:17" hidden="1" x14ac:dyDescent="0.3">
      <c r="A4" s="9" t="s">
        <v>347</v>
      </c>
      <c r="B4" s="7">
        <v>3</v>
      </c>
      <c r="C4" s="40" t="s">
        <v>2</v>
      </c>
      <c r="D4" s="18" t="s">
        <v>356</v>
      </c>
      <c r="E4" s="19" t="s">
        <v>357</v>
      </c>
      <c r="F4" s="20" t="s">
        <v>358</v>
      </c>
      <c r="G4" s="20" t="s">
        <v>35</v>
      </c>
      <c r="H4" s="21" t="s">
        <v>35</v>
      </c>
      <c r="I4" s="21" t="s">
        <v>35</v>
      </c>
      <c r="J4" s="21" t="s">
        <v>35</v>
      </c>
      <c r="K4" s="22" t="s">
        <v>359</v>
      </c>
      <c r="L4" s="22" t="s">
        <v>29</v>
      </c>
      <c r="M4" s="22" t="s">
        <v>360</v>
      </c>
      <c r="N4" s="22" t="s">
        <v>352</v>
      </c>
      <c r="O4" s="22" t="s">
        <v>352</v>
      </c>
      <c r="P4" s="22" t="s">
        <v>35</v>
      </c>
      <c r="Q4" s="23" t="s">
        <v>361</v>
      </c>
    </row>
    <row r="5" spans="1:17" ht="43.2" hidden="1" x14ac:dyDescent="0.3">
      <c r="A5" s="9" t="s">
        <v>347</v>
      </c>
      <c r="B5" s="7">
        <v>4</v>
      </c>
      <c r="C5" s="40" t="s">
        <v>3</v>
      </c>
      <c r="D5" s="18" t="s">
        <v>362</v>
      </c>
      <c r="E5" s="19" t="s">
        <v>349</v>
      </c>
      <c r="F5" s="20" t="s">
        <v>363</v>
      </c>
      <c r="G5" s="20" t="s">
        <v>35</v>
      </c>
      <c r="H5" s="21" t="s">
        <v>35</v>
      </c>
      <c r="I5" s="21" t="s">
        <v>29</v>
      </c>
      <c r="J5" s="21" t="s">
        <v>35</v>
      </c>
      <c r="K5" s="22" t="s">
        <v>89</v>
      </c>
      <c r="L5" s="22" t="s">
        <v>35</v>
      </c>
      <c r="M5" s="22" t="s">
        <v>351</v>
      </c>
      <c r="N5" s="22" t="s">
        <v>352</v>
      </c>
      <c r="O5" s="22" t="s">
        <v>352</v>
      </c>
      <c r="P5" s="22" t="s">
        <v>35</v>
      </c>
      <c r="Q5" s="23" t="s">
        <v>364</v>
      </c>
    </row>
    <row r="6" spans="1:17" ht="43.2" hidden="1" x14ac:dyDescent="0.3">
      <c r="A6" s="9" t="s">
        <v>347</v>
      </c>
      <c r="B6" s="7">
        <v>5</v>
      </c>
      <c r="C6" s="40" t="s">
        <v>4</v>
      </c>
      <c r="D6" s="18" t="s">
        <v>365</v>
      </c>
      <c r="E6" s="19" t="s">
        <v>349</v>
      </c>
      <c r="F6" s="20" t="s">
        <v>366</v>
      </c>
      <c r="G6" s="20" t="s">
        <v>35</v>
      </c>
      <c r="H6" s="21" t="s">
        <v>35</v>
      </c>
      <c r="I6" s="21" t="s">
        <v>35</v>
      </c>
      <c r="J6" s="21" t="s">
        <v>35</v>
      </c>
      <c r="K6" s="22" t="s">
        <v>89</v>
      </c>
      <c r="L6" s="22" t="s">
        <v>35</v>
      </c>
      <c r="M6" s="22" t="s">
        <v>351</v>
      </c>
      <c r="N6" s="22" t="s">
        <v>352</v>
      </c>
      <c r="O6" s="22" t="s">
        <v>352</v>
      </c>
      <c r="P6" s="22" t="s">
        <v>35</v>
      </c>
      <c r="Q6" s="23" t="s">
        <v>367</v>
      </c>
    </row>
    <row r="7" spans="1:17" hidden="1" x14ac:dyDescent="0.3">
      <c r="A7" s="9" t="s">
        <v>347</v>
      </c>
      <c r="B7" s="7">
        <v>6</v>
      </c>
      <c r="C7" s="40" t="s">
        <v>5</v>
      </c>
      <c r="D7" s="18" t="s">
        <v>368</v>
      </c>
      <c r="E7" s="19" t="s">
        <v>357</v>
      </c>
      <c r="F7" s="20" t="s">
        <v>369</v>
      </c>
      <c r="G7" s="20" t="s">
        <v>35</v>
      </c>
      <c r="H7" s="21" t="s">
        <v>35</v>
      </c>
      <c r="I7" s="21" t="s">
        <v>35</v>
      </c>
      <c r="J7" s="21" t="s">
        <v>35</v>
      </c>
      <c r="K7" s="22" t="s">
        <v>89</v>
      </c>
      <c r="L7" s="22" t="s">
        <v>35</v>
      </c>
      <c r="M7" s="22" t="s">
        <v>360</v>
      </c>
      <c r="N7" s="22" t="s">
        <v>370</v>
      </c>
      <c r="O7" s="22" t="s">
        <v>371</v>
      </c>
      <c r="P7" s="22" t="s">
        <v>29</v>
      </c>
      <c r="Q7" s="23" t="s">
        <v>372</v>
      </c>
    </row>
    <row r="8" spans="1:17" ht="28.8" hidden="1" x14ac:dyDescent="0.3">
      <c r="A8" s="9" t="s">
        <v>347</v>
      </c>
      <c r="B8" s="7">
        <v>7</v>
      </c>
      <c r="C8" s="40" t="s">
        <v>6</v>
      </c>
      <c r="D8" s="18" t="s">
        <v>373</v>
      </c>
      <c r="E8" s="19" t="s">
        <v>357</v>
      </c>
      <c r="F8" s="20" t="s">
        <v>366</v>
      </c>
      <c r="G8" s="20" t="s">
        <v>29</v>
      </c>
      <c r="H8" s="21" t="s">
        <v>35</v>
      </c>
      <c r="I8" s="21" t="s">
        <v>35</v>
      </c>
      <c r="J8" s="21" t="s">
        <v>35</v>
      </c>
      <c r="K8" s="22" t="s">
        <v>89</v>
      </c>
      <c r="L8" s="22" t="s">
        <v>35</v>
      </c>
      <c r="M8" s="22" t="s">
        <v>360</v>
      </c>
      <c r="N8" s="22" t="s">
        <v>352</v>
      </c>
      <c r="O8" s="22" t="s">
        <v>352</v>
      </c>
      <c r="P8" s="22" t="s">
        <v>35</v>
      </c>
      <c r="Q8" s="23" t="s">
        <v>374</v>
      </c>
    </row>
    <row r="9" spans="1:17" ht="28.8" hidden="1" x14ac:dyDescent="0.3">
      <c r="A9" s="9" t="s">
        <v>347</v>
      </c>
      <c r="B9" s="7">
        <v>8</v>
      </c>
      <c r="C9" s="40" t="s">
        <v>7</v>
      </c>
      <c r="D9" s="18" t="s">
        <v>375</v>
      </c>
      <c r="E9" s="19" t="s">
        <v>349</v>
      </c>
      <c r="F9" s="20" t="s">
        <v>366</v>
      </c>
      <c r="G9" s="20" t="s">
        <v>35</v>
      </c>
      <c r="H9" s="21" t="s">
        <v>35</v>
      </c>
      <c r="I9" s="21" t="s">
        <v>35</v>
      </c>
      <c r="J9" s="21" t="s">
        <v>35</v>
      </c>
      <c r="K9" s="22" t="s">
        <v>89</v>
      </c>
      <c r="L9" s="22" t="s">
        <v>35</v>
      </c>
      <c r="M9" s="22" t="s">
        <v>351</v>
      </c>
      <c r="N9" s="22" t="s">
        <v>352</v>
      </c>
      <c r="O9" s="22" t="s">
        <v>352</v>
      </c>
      <c r="P9" s="22" t="s">
        <v>35</v>
      </c>
      <c r="Q9" s="23" t="s">
        <v>376</v>
      </c>
    </row>
    <row r="10" spans="1:17" ht="28.8" hidden="1" x14ac:dyDescent="0.3">
      <c r="A10" s="9" t="s">
        <v>347</v>
      </c>
      <c r="B10" s="7">
        <v>9</v>
      </c>
      <c r="C10" s="40" t="s">
        <v>8</v>
      </c>
      <c r="D10" s="18" t="s">
        <v>377</v>
      </c>
      <c r="E10" s="19" t="s">
        <v>357</v>
      </c>
      <c r="F10" s="20" t="s">
        <v>378</v>
      </c>
      <c r="G10" s="20" t="s">
        <v>29</v>
      </c>
      <c r="H10" s="21" t="s">
        <v>35</v>
      </c>
      <c r="I10" s="21" t="s">
        <v>29</v>
      </c>
      <c r="J10" s="21" t="s">
        <v>35</v>
      </c>
      <c r="K10" s="22" t="s">
        <v>89</v>
      </c>
      <c r="L10" s="22" t="s">
        <v>35</v>
      </c>
      <c r="M10" s="22" t="s">
        <v>379</v>
      </c>
      <c r="N10" s="22" t="s">
        <v>352</v>
      </c>
      <c r="O10" s="22" t="s">
        <v>352</v>
      </c>
      <c r="P10" s="22" t="s">
        <v>35</v>
      </c>
      <c r="Q10" s="23" t="s">
        <v>380</v>
      </c>
    </row>
    <row r="11" spans="1:17" ht="28.8" hidden="1" x14ac:dyDescent="0.3">
      <c r="A11" s="9" t="s">
        <v>347</v>
      </c>
      <c r="B11" s="7">
        <v>10</v>
      </c>
      <c r="C11" s="40" t="s">
        <v>9</v>
      </c>
      <c r="D11" s="18" t="s">
        <v>381</v>
      </c>
      <c r="E11" s="19" t="s">
        <v>357</v>
      </c>
      <c r="F11" s="24" t="s">
        <v>382</v>
      </c>
      <c r="G11" s="20" t="s">
        <v>35</v>
      </c>
      <c r="H11" s="21" t="s">
        <v>35</v>
      </c>
      <c r="I11" s="21" t="s">
        <v>35</v>
      </c>
      <c r="J11" s="21" t="s">
        <v>35</v>
      </c>
      <c r="K11" s="22" t="s">
        <v>89</v>
      </c>
      <c r="L11" s="22" t="s">
        <v>29</v>
      </c>
      <c r="M11" s="22" t="s">
        <v>360</v>
      </c>
      <c r="N11" s="22" t="s">
        <v>352</v>
      </c>
      <c r="O11" s="22" t="s">
        <v>352</v>
      </c>
      <c r="P11" s="22" t="s">
        <v>35</v>
      </c>
      <c r="Q11" s="23" t="s">
        <v>383</v>
      </c>
    </row>
    <row r="12" spans="1:17" ht="28.8" hidden="1" x14ac:dyDescent="0.3">
      <c r="A12" s="9" t="s">
        <v>347</v>
      </c>
      <c r="B12" s="7">
        <v>11</v>
      </c>
      <c r="C12" s="40" t="s">
        <v>10</v>
      </c>
      <c r="D12" s="18" t="s">
        <v>384</v>
      </c>
      <c r="E12" s="19" t="s">
        <v>357</v>
      </c>
      <c r="F12" s="20" t="s">
        <v>590</v>
      </c>
      <c r="G12" s="20" t="s">
        <v>29</v>
      </c>
      <c r="H12" s="21" t="s">
        <v>35</v>
      </c>
      <c r="I12" s="21" t="s">
        <v>29</v>
      </c>
      <c r="J12" s="21" t="s">
        <v>35</v>
      </c>
      <c r="K12" s="22" t="s">
        <v>89</v>
      </c>
      <c r="L12" s="22" t="s">
        <v>35</v>
      </c>
      <c r="M12" s="22" t="s">
        <v>360</v>
      </c>
      <c r="N12" s="22" t="s">
        <v>352</v>
      </c>
      <c r="O12" s="22" t="s">
        <v>371</v>
      </c>
      <c r="P12" s="22" t="s">
        <v>35</v>
      </c>
      <c r="Q12" s="23" t="s">
        <v>385</v>
      </c>
    </row>
    <row r="13" spans="1:17" hidden="1" x14ac:dyDescent="0.3">
      <c r="A13" s="9" t="s">
        <v>347</v>
      </c>
      <c r="B13" s="7">
        <v>12</v>
      </c>
      <c r="C13" s="40" t="s">
        <v>11</v>
      </c>
      <c r="D13" s="18" t="s">
        <v>386</v>
      </c>
      <c r="E13" s="19" t="s">
        <v>357</v>
      </c>
      <c r="F13" s="20" t="s">
        <v>387</v>
      </c>
      <c r="G13" s="20" t="s">
        <v>29</v>
      </c>
      <c r="H13" s="21" t="s">
        <v>35</v>
      </c>
      <c r="I13" s="21" t="s">
        <v>35</v>
      </c>
      <c r="J13" s="21" t="s">
        <v>35</v>
      </c>
      <c r="K13" s="22" t="s">
        <v>89</v>
      </c>
      <c r="L13" s="22" t="s">
        <v>35</v>
      </c>
      <c r="M13" s="22" t="s">
        <v>360</v>
      </c>
      <c r="N13" s="22" t="s">
        <v>370</v>
      </c>
      <c r="O13" s="22" t="s">
        <v>371</v>
      </c>
      <c r="P13" s="22" t="s">
        <v>29</v>
      </c>
      <c r="Q13" s="23" t="s">
        <v>388</v>
      </c>
    </row>
    <row r="14" spans="1:17" ht="28.8" hidden="1" x14ac:dyDescent="0.3">
      <c r="A14" s="9" t="s">
        <v>347</v>
      </c>
      <c r="B14" s="7">
        <v>13</v>
      </c>
      <c r="C14" s="40" t="s">
        <v>12</v>
      </c>
      <c r="D14" s="18" t="s">
        <v>389</v>
      </c>
      <c r="E14" s="19" t="s">
        <v>357</v>
      </c>
      <c r="F14" s="20" t="s">
        <v>390</v>
      </c>
      <c r="G14" s="20" t="s">
        <v>35</v>
      </c>
      <c r="H14" s="21" t="s">
        <v>35</v>
      </c>
      <c r="I14" s="21" t="s">
        <v>35</v>
      </c>
      <c r="J14" s="21" t="s">
        <v>35</v>
      </c>
      <c r="K14" s="22" t="s">
        <v>89</v>
      </c>
      <c r="L14" s="22" t="s">
        <v>35</v>
      </c>
      <c r="M14" s="22" t="s">
        <v>360</v>
      </c>
      <c r="N14" s="22" t="s">
        <v>370</v>
      </c>
      <c r="O14" s="22" t="s">
        <v>371</v>
      </c>
      <c r="P14" s="22" t="s">
        <v>29</v>
      </c>
      <c r="Q14" s="23" t="s">
        <v>391</v>
      </c>
    </row>
    <row r="15" spans="1:17" hidden="1" x14ac:dyDescent="0.3">
      <c r="A15" s="9" t="s">
        <v>347</v>
      </c>
      <c r="B15" s="7">
        <v>14</v>
      </c>
      <c r="C15" s="40" t="s">
        <v>13</v>
      </c>
      <c r="D15" s="18" t="s">
        <v>392</v>
      </c>
      <c r="E15" s="19" t="s">
        <v>357</v>
      </c>
      <c r="F15" s="20" t="s">
        <v>393</v>
      </c>
      <c r="G15" s="20" t="s">
        <v>35</v>
      </c>
      <c r="H15" s="21" t="s">
        <v>35</v>
      </c>
      <c r="I15" s="21" t="s">
        <v>35</v>
      </c>
      <c r="J15" s="21" t="s">
        <v>35</v>
      </c>
      <c r="K15" s="22" t="s">
        <v>394</v>
      </c>
      <c r="L15" s="22" t="s">
        <v>29</v>
      </c>
      <c r="M15" s="22" t="s">
        <v>360</v>
      </c>
      <c r="N15" s="22" t="s">
        <v>352</v>
      </c>
      <c r="O15" s="22" t="s">
        <v>352</v>
      </c>
      <c r="P15" s="22" t="s">
        <v>35</v>
      </c>
      <c r="Q15" s="23" t="s">
        <v>395</v>
      </c>
    </row>
    <row r="16" spans="1:17" hidden="1" x14ac:dyDescent="0.3">
      <c r="A16" s="9" t="s">
        <v>347</v>
      </c>
      <c r="B16" s="7">
        <v>15</v>
      </c>
      <c r="C16" s="40" t="s">
        <v>14</v>
      </c>
      <c r="D16" s="18" t="s">
        <v>396</v>
      </c>
      <c r="E16" s="19" t="s">
        <v>357</v>
      </c>
      <c r="F16" s="20" t="s">
        <v>393</v>
      </c>
      <c r="G16" s="20" t="s">
        <v>35</v>
      </c>
      <c r="H16" s="21" t="s">
        <v>35</v>
      </c>
      <c r="I16" s="21" t="s">
        <v>35</v>
      </c>
      <c r="J16" s="21" t="s">
        <v>35</v>
      </c>
      <c r="K16" s="22" t="s">
        <v>397</v>
      </c>
      <c r="L16" s="22" t="s">
        <v>29</v>
      </c>
      <c r="M16" s="22" t="s">
        <v>360</v>
      </c>
      <c r="N16" s="22" t="s">
        <v>352</v>
      </c>
      <c r="O16" s="22" t="s">
        <v>352</v>
      </c>
      <c r="P16" s="22" t="s">
        <v>35</v>
      </c>
      <c r="Q16" s="23" t="s">
        <v>398</v>
      </c>
    </row>
    <row r="17" spans="1:17" hidden="1" x14ac:dyDescent="0.3">
      <c r="A17" s="9" t="s">
        <v>347</v>
      </c>
      <c r="B17" s="7">
        <v>16</v>
      </c>
      <c r="C17" s="40" t="s">
        <v>15</v>
      </c>
      <c r="D17" s="18" t="s">
        <v>399</v>
      </c>
      <c r="E17" s="19" t="s">
        <v>357</v>
      </c>
      <c r="F17" s="20" t="s">
        <v>393</v>
      </c>
      <c r="G17" s="20" t="s">
        <v>35</v>
      </c>
      <c r="H17" s="21" t="s">
        <v>35</v>
      </c>
      <c r="I17" s="21" t="s">
        <v>35</v>
      </c>
      <c r="J17" s="21" t="s">
        <v>35</v>
      </c>
      <c r="K17" s="22" t="s">
        <v>89</v>
      </c>
      <c r="L17" s="22" t="s">
        <v>35</v>
      </c>
      <c r="M17" s="22" t="s">
        <v>360</v>
      </c>
      <c r="N17" s="22" t="s">
        <v>352</v>
      </c>
      <c r="O17" s="22" t="s">
        <v>352</v>
      </c>
      <c r="P17" s="22" t="s">
        <v>35</v>
      </c>
      <c r="Q17" s="23" t="s">
        <v>400</v>
      </c>
    </row>
    <row r="18" spans="1:17" hidden="1" x14ac:dyDescent="0.3">
      <c r="A18" s="9" t="s">
        <v>347</v>
      </c>
      <c r="B18" s="7">
        <v>17</v>
      </c>
      <c r="C18" s="40" t="s">
        <v>16</v>
      </c>
      <c r="D18" s="18" t="s">
        <v>401</v>
      </c>
      <c r="E18" s="19" t="s">
        <v>357</v>
      </c>
      <c r="F18" s="20" t="s">
        <v>587</v>
      </c>
      <c r="G18" s="20" t="s">
        <v>29</v>
      </c>
      <c r="H18" s="21" t="s">
        <v>35</v>
      </c>
      <c r="I18" s="21" t="s">
        <v>35</v>
      </c>
      <c r="J18" s="21" t="s">
        <v>35</v>
      </c>
      <c r="K18" s="22" t="s">
        <v>89</v>
      </c>
      <c r="L18" s="22" t="s">
        <v>35</v>
      </c>
      <c r="M18" s="22" t="s">
        <v>360</v>
      </c>
      <c r="N18" s="22" t="s">
        <v>352</v>
      </c>
      <c r="O18" s="22" t="s">
        <v>352</v>
      </c>
      <c r="P18" s="22" t="s">
        <v>35</v>
      </c>
      <c r="Q18" s="23" t="s">
        <v>402</v>
      </c>
    </row>
    <row r="19" spans="1:17" hidden="1" x14ac:dyDescent="0.3">
      <c r="A19" s="9" t="s">
        <v>347</v>
      </c>
      <c r="B19" s="7">
        <v>18</v>
      </c>
      <c r="C19" s="40" t="s">
        <v>17</v>
      </c>
      <c r="D19" s="18" t="s">
        <v>403</v>
      </c>
      <c r="E19" s="19" t="s">
        <v>357</v>
      </c>
      <c r="F19" s="20" t="s">
        <v>404</v>
      </c>
      <c r="G19" s="20" t="s">
        <v>35</v>
      </c>
      <c r="H19" s="21" t="s">
        <v>35</v>
      </c>
      <c r="I19" s="21" t="s">
        <v>35</v>
      </c>
      <c r="J19" s="21" t="s">
        <v>35</v>
      </c>
      <c r="K19" s="22" t="s">
        <v>405</v>
      </c>
      <c r="L19" s="22" t="s">
        <v>29</v>
      </c>
      <c r="M19" s="22" t="s">
        <v>360</v>
      </c>
      <c r="N19" s="22" t="s">
        <v>352</v>
      </c>
      <c r="O19" s="22" t="s">
        <v>352</v>
      </c>
      <c r="P19" s="22" t="s">
        <v>35</v>
      </c>
      <c r="Q19" s="23" t="s">
        <v>406</v>
      </c>
    </row>
    <row r="20" spans="1:17" hidden="1" x14ac:dyDescent="0.3">
      <c r="A20" s="9" t="s">
        <v>347</v>
      </c>
      <c r="B20" s="7">
        <v>19</v>
      </c>
      <c r="C20" s="40" t="s">
        <v>18</v>
      </c>
      <c r="D20" s="18" t="s">
        <v>407</v>
      </c>
      <c r="E20" s="19" t="s">
        <v>349</v>
      </c>
      <c r="F20" s="20" t="s">
        <v>366</v>
      </c>
      <c r="G20" s="20" t="s">
        <v>35</v>
      </c>
      <c r="H20" s="21" t="s">
        <v>35</v>
      </c>
      <c r="I20" s="21" t="s">
        <v>35</v>
      </c>
      <c r="J20" s="21" t="s">
        <v>35</v>
      </c>
      <c r="K20" s="22" t="s">
        <v>89</v>
      </c>
      <c r="L20" s="22" t="s">
        <v>35</v>
      </c>
      <c r="M20" s="22" t="s">
        <v>351</v>
      </c>
      <c r="N20" s="22" t="s">
        <v>352</v>
      </c>
      <c r="O20" s="22" t="s">
        <v>352</v>
      </c>
      <c r="P20" s="22" t="s">
        <v>35</v>
      </c>
      <c r="Q20" s="23" t="s">
        <v>408</v>
      </c>
    </row>
    <row r="21" spans="1:17" hidden="1" x14ac:dyDescent="0.3">
      <c r="A21" s="9" t="s">
        <v>347</v>
      </c>
      <c r="B21" s="7">
        <v>20</v>
      </c>
      <c r="C21" s="40" t="s">
        <v>19</v>
      </c>
      <c r="D21" s="18" t="s">
        <v>409</v>
      </c>
      <c r="E21" s="19" t="s">
        <v>349</v>
      </c>
      <c r="F21" s="20" t="s">
        <v>366</v>
      </c>
      <c r="G21" s="20" t="s">
        <v>35</v>
      </c>
      <c r="H21" s="21" t="s">
        <v>35</v>
      </c>
      <c r="I21" s="21" t="s">
        <v>35</v>
      </c>
      <c r="J21" s="21" t="s">
        <v>35</v>
      </c>
      <c r="K21" s="22" t="s">
        <v>89</v>
      </c>
      <c r="L21" s="22" t="s">
        <v>35</v>
      </c>
      <c r="M21" s="22" t="s">
        <v>351</v>
      </c>
      <c r="N21" s="22" t="s">
        <v>352</v>
      </c>
      <c r="O21" s="22" t="s">
        <v>352</v>
      </c>
      <c r="P21" s="22" t="s">
        <v>35</v>
      </c>
      <c r="Q21" s="23" t="s">
        <v>410</v>
      </c>
    </row>
    <row r="22" spans="1:17" hidden="1" x14ac:dyDescent="0.3">
      <c r="A22" s="9" t="s">
        <v>347</v>
      </c>
      <c r="B22" s="7">
        <v>21</v>
      </c>
      <c r="C22" s="40" t="s">
        <v>20</v>
      </c>
      <c r="D22" s="18" t="s">
        <v>411</v>
      </c>
      <c r="E22" s="19" t="s">
        <v>349</v>
      </c>
      <c r="F22" s="20" t="s">
        <v>366</v>
      </c>
      <c r="G22" s="20" t="s">
        <v>35</v>
      </c>
      <c r="H22" s="21" t="s">
        <v>35</v>
      </c>
      <c r="I22" s="21" t="s">
        <v>29</v>
      </c>
      <c r="J22" s="21" t="s">
        <v>29</v>
      </c>
      <c r="K22" s="22" t="s">
        <v>89</v>
      </c>
      <c r="L22" s="22" t="s">
        <v>35</v>
      </c>
      <c r="M22" s="22" t="s">
        <v>351</v>
      </c>
      <c r="N22" s="22" t="s">
        <v>352</v>
      </c>
      <c r="O22" s="22" t="s">
        <v>352</v>
      </c>
      <c r="P22" s="22" t="s">
        <v>35</v>
      </c>
      <c r="Q22" s="23" t="s">
        <v>412</v>
      </c>
    </row>
    <row r="23" spans="1:17" hidden="1" x14ac:dyDescent="0.3">
      <c r="A23" s="9" t="s">
        <v>347</v>
      </c>
      <c r="B23" s="7">
        <v>22</v>
      </c>
      <c r="C23" s="40" t="s">
        <v>21</v>
      </c>
      <c r="D23" s="18" t="s">
        <v>413</v>
      </c>
      <c r="E23" s="19" t="s">
        <v>349</v>
      </c>
      <c r="F23" s="20" t="s">
        <v>414</v>
      </c>
      <c r="G23" s="20" t="s">
        <v>35</v>
      </c>
      <c r="H23" s="21" t="s">
        <v>35</v>
      </c>
      <c r="I23" s="21" t="s">
        <v>35</v>
      </c>
      <c r="J23" s="21" t="s">
        <v>35</v>
      </c>
      <c r="K23" s="22" t="s">
        <v>89</v>
      </c>
      <c r="L23" s="22" t="s">
        <v>35</v>
      </c>
      <c r="M23" s="22" t="s">
        <v>351</v>
      </c>
      <c r="N23" s="22" t="s">
        <v>352</v>
      </c>
      <c r="O23" s="22" t="s">
        <v>352</v>
      </c>
      <c r="P23" s="22" t="s">
        <v>35</v>
      </c>
      <c r="Q23" s="23" t="s">
        <v>415</v>
      </c>
    </row>
    <row r="24" spans="1:17" hidden="1" x14ac:dyDescent="0.3">
      <c r="A24" s="9" t="s">
        <v>347</v>
      </c>
      <c r="B24" s="7">
        <v>23</v>
      </c>
      <c r="C24" s="40" t="s">
        <v>22</v>
      </c>
      <c r="D24" s="18" t="s">
        <v>562</v>
      </c>
      <c r="E24" s="19" t="s">
        <v>416</v>
      </c>
      <c r="F24" s="20" t="s">
        <v>420</v>
      </c>
      <c r="G24" s="20" t="s">
        <v>35</v>
      </c>
      <c r="H24" s="21" t="s">
        <v>35</v>
      </c>
      <c r="I24" s="21" t="s">
        <v>35</v>
      </c>
      <c r="J24" s="21" t="s">
        <v>35</v>
      </c>
      <c r="K24" s="22" t="s">
        <v>89</v>
      </c>
      <c r="L24" s="22" t="s">
        <v>35</v>
      </c>
      <c r="M24" s="22" t="s">
        <v>351</v>
      </c>
      <c r="N24" s="22" t="s">
        <v>417</v>
      </c>
      <c r="O24" s="22" t="s">
        <v>418</v>
      </c>
      <c r="P24" s="22" t="s">
        <v>35</v>
      </c>
      <c r="Q24" s="23" t="s">
        <v>419</v>
      </c>
    </row>
    <row r="25" spans="1:17" ht="72" hidden="1" x14ac:dyDescent="0.3">
      <c r="A25" s="9" t="s">
        <v>347</v>
      </c>
      <c r="B25" s="7">
        <v>24</v>
      </c>
      <c r="C25" s="40" t="s">
        <v>477</v>
      </c>
      <c r="D25" s="18" t="s">
        <v>561</v>
      </c>
      <c r="E25" s="19" t="s">
        <v>416</v>
      </c>
      <c r="F25" s="20" t="s">
        <v>483</v>
      </c>
      <c r="G25" s="20" t="s">
        <v>35</v>
      </c>
      <c r="H25" s="21" t="s">
        <v>35</v>
      </c>
      <c r="I25" s="21" t="s">
        <v>35</v>
      </c>
      <c r="J25" s="21" t="s">
        <v>35</v>
      </c>
      <c r="K25" s="22" t="s">
        <v>89</v>
      </c>
      <c r="L25" s="22" t="s">
        <v>35</v>
      </c>
      <c r="M25" s="22" t="s">
        <v>351</v>
      </c>
      <c r="N25" s="22" t="s">
        <v>417</v>
      </c>
      <c r="O25" s="22" t="s">
        <v>418</v>
      </c>
      <c r="P25" s="22" t="s">
        <v>35</v>
      </c>
      <c r="Q25" s="23" t="s">
        <v>484</v>
      </c>
    </row>
    <row r="26" spans="1:17" hidden="1" x14ac:dyDescent="0.3">
      <c r="A26" s="9" t="s">
        <v>347</v>
      </c>
      <c r="B26" s="7">
        <v>25</v>
      </c>
      <c r="C26" s="40" t="s">
        <v>23</v>
      </c>
      <c r="D26" s="18" t="s">
        <v>560</v>
      </c>
      <c r="E26" s="19" t="s">
        <v>416</v>
      </c>
      <c r="F26" s="20" t="s">
        <v>451</v>
      </c>
      <c r="G26" s="20" t="s">
        <v>35</v>
      </c>
      <c r="H26" s="21" t="s">
        <v>35</v>
      </c>
      <c r="I26" s="21" t="s">
        <v>29</v>
      </c>
      <c r="J26" s="21" t="s">
        <v>35</v>
      </c>
      <c r="K26" s="22" t="s">
        <v>89</v>
      </c>
      <c r="L26" s="22" t="s">
        <v>35</v>
      </c>
      <c r="M26" s="22" t="s">
        <v>351</v>
      </c>
      <c r="N26" s="22" t="s">
        <v>417</v>
      </c>
      <c r="O26" s="22" t="s">
        <v>418</v>
      </c>
      <c r="P26" s="22" t="s">
        <v>35</v>
      </c>
      <c r="Q26" s="23" t="s">
        <v>565</v>
      </c>
    </row>
    <row r="27" spans="1:17" ht="28.8" hidden="1" x14ac:dyDescent="0.3">
      <c r="A27" s="9" t="s">
        <v>347</v>
      </c>
      <c r="B27" s="7">
        <v>26</v>
      </c>
      <c r="C27" s="40" t="s">
        <v>564</v>
      </c>
      <c r="D27" s="18" t="s">
        <v>563</v>
      </c>
      <c r="E27" s="19" t="s">
        <v>416</v>
      </c>
      <c r="F27" s="20" t="s">
        <v>451</v>
      </c>
      <c r="G27" s="20" t="s">
        <v>35</v>
      </c>
      <c r="H27" s="21" t="s">
        <v>35</v>
      </c>
      <c r="I27" s="21" t="s">
        <v>29</v>
      </c>
      <c r="J27" s="21" t="s">
        <v>35</v>
      </c>
      <c r="K27" s="22" t="s">
        <v>89</v>
      </c>
      <c r="L27" s="22" t="s">
        <v>35</v>
      </c>
      <c r="M27" s="22" t="s">
        <v>351</v>
      </c>
      <c r="N27" s="22" t="s">
        <v>417</v>
      </c>
      <c r="O27" s="22" t="s">
        <v>418</v>
      </c>
      <c r="P27" s="22" t="s">
        <v>35</v>
      </c>
      <c r="Q27" s="23" t="s">
        <v>566</v>
      </c>
    </row>
    <row r="28" spans="1:17" ht="43.2" hidden="1" x14ac:dyDescent="0.3">
      <c r="A28" s="9" t="s">
        <v>347</v>
      </c>
      <c r="B28" s="7">
        <v>27</v>
      </c>
      <c r="C28" s="40" t="s">
        <v>24</v>
      </c>
      <c r="D28" s="18" t="s">
        <v>421</v>
      </c>
      <c r="E28" s="19" t="s">
        <v>357</v>
      </c>
      <c r="F28" s="20" t="s">
        <v>422</v>
      </c>
      <c r="G28" s="20" t="s">
        <v>35</v>
      </c>
      <c r="H28" s="21" t="s">
        <v>29</v>
      </c>
      <c r="I28" s="21" t="s">
        <v>35</v>
      </c>
      <c r="J28" s="21" t="s">
        <v>35</v>
      </c>
      <c r="K28" s="25" t="s">
        <v>423</v>
      </c>
      <c r="L28" s="22" t="s">
        <v>29</v>
      </c>
      <c r="M28" s="22" t="s">
        <v>360</v>
      </c>
      <c r="N28" s="22" t="s">
        <v>352</v>
      </c>
      <c r="O28" s="22" t="s">
        <v>371</v>
      </c>
      <c r="P28" s="22" t="s">
        <v>29</v>
      </c>
      <c r="Q28" s="23" t="s">
        <v>424</v>
      </c>
    </row>
    <row r="29" spans="1:17" ht="43.2" hidden="1" x14ac:dyDescent="0.3">
      <c r="A29" s="9" t="s">
        <v>347</v>
      </c>
      <c r="B29" s="7">
        <v>28</v>
      </c>
      <c r="C29" s="40" t="s">
        <v>25</v>
      </c>
      <c r="D29" s="18" t="s">
        <v>425</v>
      </c>
      <c r="E29" s="19" t="s">
        <v>357</v>
      </c>
      <c r="F29" s="20" t="s">
        <v>426</v>
      </c>
      <c r="G29" s="20" t="s">
        <v>35</v>
      </c>
      <c r="H29" s="21" t="s">
        <v>35</v>
      </c>
      <c r="I29" s="21" t="s">
        <v>35</v>
      </c>
      <c r="J29" s="21" t="s">
        <v>35</v>
      </c>
      <c r="K29" s="22" t="s">
        <v>89</v>
      </c>
      <c r="L29" s="22" t="s">
        <v>35</v>
      </c>
      <c r="M29" s="22" t="s">
        <v>360</v>
      </c>
      <c r="N29" s="22" t="s">
        <v>370</v>
      </c>
      <c r="O29" s="22" t="s">
        <v>371</v>
      </c>
      <c r="P29" s="22" t="s">
        <v>29</v>
      </c>
      <c r="Q29" s="23" t="s">
        <v>427</v>
      </c>
    </row>
    <row r="30" spans="1:17" ht="28.8" hidden="1" x14ac:dyDescent="0.3">
      <c r="A30" s="9" t="s">
        <v>347</v>
      </c>
      <c r="B30" s="7">
        <v>29</v>
      </c>
      <c r="C30" s="40" t="s">
        <v>26</v>
      </c>
      <c r="D30" s="18" t="s">
        <v>428</v>
      </c>
      <c r="E30" s="19" t="s">
        <v>357</v>
      </c>
      <c r="F30" s="20" t="s">
        <v>422</v>
      </c>
      <c r="G30" s="20" t="s">
        <v>29</v>
      </c>
      <c r="H30" s="21" t="s">
        <v>29</v>
      </c>
      <c r="I30" s="21" t="s">
        <v>35</v>
      </c>
      <c r="J30" s="21" t="s">
        <v>35</v>
      </c>
      <c r="K30" s="22" t="s">
        <v>89</v>
      </c>
      <c r="L30" s="22" t="s">
        <v>35</v>
      </c>
      <c r="M30" s="22" t="s">
        <v>360</v>
      </c>
      <c r="N30" s="22" t="s">
        <v>370</v>
      </c>
      <c r="O30" s="22" t="s">
        <v>371</v>
      </c>
      <c r="P30" s="22" t="s">
        <v>29</v>
      </c>
      <c r="Q30" s="23" t="s">
        <v>429</v>
      </c>
    </row>
    <row r="31" spans="1:17" hidden="1" x14ac:dyDescent="0.3">
      <c r="A31" s="9" t="s">
        <v>347</v>
      </c>
      <c r="B31" s="7">
        <v>30</v>
      </c>
      <c r="C31" s="40" t="s">
        <v>27</v>
      </c>
      <c r="D31" s="18" t="s">
        <v>430</v>
      </c>
      <c r="E31" s="19" t="s">
        <v>357</v>
      </c>
      <c r="F31" s="20" t="s">
        <v>422</v>
      </c>
      <c r="G31" s="20" t="s">
        <v>35</v>
      </c>
      <c r="H31" s="21" t="s">
        <v>29</v>
      </c>
      <c r="I31" s="21" t="s">
        <v>35</v>
      </c>
      <c r="J31" s="21" t="s">
        <v>35</v>
      </c>
      <c r="K31" s="22" t="s">
        <v>89</v>
      </c>
      <c r="L31" s="22" t="s">
        <v>35</v>
      </c>
      <c r="M31" s="22" t="s">
        <v>360</v>
      </c>
      <c r="N31" s="22" t="s">
        <v>370</v>
      </c>
      <c r="O31" s="22" t="s">
        <v>371</v>
      </c>
      <c r="P31" s="22" t="s">
        <v>29</v>
      </c>
      <c r="Q31" s="23" t="s">
        <v>431</v>
      </c>
    </row>
    <row r="32" spans="1:17" ht="28.8" hidden="1" x14ac:dyDescent="0.3">
      <c r="A32" s="9" t="s">
        <v>432</v>
      </c>
      <c r="B32" s="7">
        <v>6</v>
      </c>
      <c r="C32" s="33" t="s">
        <v>10</v>
      </c>
      <c r="D32" s="58" t="s">
        <v>384</v>
      </c>
      <c r="E32" s="19" t="s">
        <v>357</v>
      </c>
      <c r="F32" s="20" t="s">
        <v>590</v>
      </c>
      <c r="G32" s="20" t="s">
        <v>29</v>
      </c>
      <c r="H32" s="21" t="s">
        <v>35</v>
      </c>
      <c r="I32" s="21" t="s">
        <v>29</v>
      </c>
      <c r="J32" s="21" t="s">
        <v>35</v>
      </c>
      <c r="K32" s="22" t="s">
        <v>89</v>
      </c>
      <c r="L32" s="22" t="s">
        <v>35</v>
      </c>
      <c r="M32" s="22" t="s">
        <v>360</v>
      </c>
      <c r="N32" s="22" t="s">
        <v>352</v>
      </c>
      <c r="O32" s="22" t="s">
        <v>371</v>
      </c>
      <c r="P32" s="22" t="s">
        <v>35</v>
      </c>
      <c r="Q32" s="23" t="s">
        <v>385</v>
      </c>
    </row>
    <row r="33" spans="1:17" hidden="1" x14ac:dyDescent="0.3">
      <c r="A33" s="9" t="s">
        <v>432</v>
      </c>
      <c r="B33" s="7">
        <v>7</v>
      </c>
      <c r="C33" s="33" t="s">
        <v>58</v>
      </c>
      <c r="D33" s="58" t="s">
        <v>433</v>
      </c>
      <c r="E33" s="19" t="s">
        <v>416</v>
      </c>
      <c r="F33" s="20" t="s">
        <v>434</v>
      </c>
      <c r="G33" s="20" t="s">
        <v>35</v>
      </c>
      <c r="H33" s="21" t="s">
        <v>35</v>
      </c>
      <c r="I33" s="21" t="s">
        <v>35</v>
      </c>
      <c r="J33" s="21" t="s">
        <v>35</v>
      </c>
      <c r="K33" s="22" t="s">
        <v>89</v>
      </c>
      <c r="L33" s="22" t="s">
        <v>35</v>
      </c>
      <c r="M33" s="22" t="s">
        <v>351</v>
      </c>
      <c r="N33" s="22" t="s">
        <v>352</v>
      </c>
      <c r="O33" s="22" t="s">
        <v>352</v>
      </c>
      <c r="P33" s="22" t="s">
        <v>35</v>
      </c>
      <c r="Q33" s="23" t="s">
        <v>435</v>
      </c>
    </row>
    <row r="34" spans="1:17" hidden="1" x14ac:dyDescent="0.3">
      <c r="A34" s="9" t="s">
        <v>432</v>
      </c>
      <c r="B34" s="7">
        <v>8</v>
      </c>
      <c r="C34" s="33" t="s">
        <v>59</v>
      </c>
      <c r="D34" s="58" t="s">
        <v>436</v>
      </c>
      <c r="E34" s="19" t="s">
        <v>416</v>
      </c>
      <c r="F34" s="20" t="s">
        <v>420</v>
      </c>
      <c r="G34" s="20" t="s">
        <v>35</v>
      </c>
      <c r="H34" s="21" t="s">
        <v>35</v>
      </c>
      <c r="I34" s="21" t="s">
        <v>29</v>
      </c>
      <c r="J34" s="21" t="s">
        <v>29</v>
      </c>
      <c r="K34" s="22" t="s">
        <v>89</v>
      </c>
      <c r="L34" s="22" t="s">
        <v>35</v>
      </c>
      <c r="M34" s="22" t="s">
        <v>351</v>
      </c>
      <c r="N34" s="22" t="s">
        <v>417</v>
      </c>
      <c r="O34" s="22" t="s">
        <v>418</v>
      </c>
      <c r="P34" s="22" t="s">
        <v>35</v>
      </c>
      <c r="Q34" s="23" t="s">
        <v>437</v>
      </c>
    </row>
    <row r="35" spans="1:17" hidden="1" x14ac:dyDescent="0.3">
      <c r="A35" s="9" t="s">
        <v>432</v>
      </c>
      <c r="B35" s="7">
        <v>9</v>
      </c>
      <c r="C35" s="33" t="s">
        <v>60</v>
      </c>
      <c r="D35" s="58" t="s">
        <v>438</v>
      </c>
      <c r="E35" s="19" t="s">
        <v>416</v>
      </c>
      <c r="F35" s="20" t="s">
        <v>488</v>
      </c>
      <c r="G35" s="20" t="s">
        <v>35</v>
      </c>
      <c r="H35" s="21" t="s">
        <v>35</v>
      </c>
      <c r="I35" s="21" t="s">
        <v>29</v>
      </c>
      <c r="J35" s="21" t="s">
        <v>29</v>
      </c>
      <c r="K35" s="22" t="s">
        <v>89</v>
      </c>
      <c r="L35" s="22" t="s">
        <v>35</v>
      </c>
      <c r="M35" s="22" t="s">
        <v>351</v>
      </c>
      <c r="N35" s="22" t="s">
        <v>417</v>
      </c>
      <c r="O35" s="22" t="s">
        <v>418</v>
      </c>
      <c r="P35" s="22" t="s">
        <v>35</v>
      </c>
      <c r="Q35" s="23" t="s">
        <v>439</v>
      </c>
    </row>
    <row r="36" spans="1:17" x14ac:dyDescent="0.3">
      <c r="A36" s="9" t="s">
        <v>432</v>
      </c>
      <c r="B36" s="7">
        <v>10</v>
      </c>
      <c r="C36" s="33" t="s">
        <v>61</v>
      </c>
      <c r="D36" s="58" t="s">
        <v>440</v>
      </c>
      <c r="E36" s="19" t="s">
        <v>416</v>
      </c>
      <c r="F36" s="20" t="s">
        <v>441</v>
      </c>
      <c r="G36" s="20" t="s">
        <v>35</v>
      </c>
      <c r="H36" s="21" t="s">
        <v>35</v>
      </c>
      <c r="I36" s="21" t="s">
        <v>35</v>
      </c>
      <c r="J36" s="21" t="s">
        <v>35</v>
      </c>
      <c r="K36" s="22" t="s">
        <v>89</v>
      </c>
      <c r="L36" s="22" t="s">
        <v>35</v>
      </c>
      <c r="M36" s="22" t="s">
        <v>351</v>
      </c>
      <c r="N36" s="22" t="s">
        <v>417</v>
      </c>
      <c r="O36" s="22" t="s">
        <v>418</v>
      </c>
      <c r="P36" s="22" t="s">
        <v>35</v>
      </c>
      <c r="Q36" s="23" t="s">
        <v>442</v>
      </c>
    </row>
    <row r="37" spans="1:17" x14ac:dyDescent="0.3">
      <c r="A37" s="9" t="s">
        <v>432</v>
      </c>
      <c r="B37" s="7">
        <v>11</v>
      </c>
      <c r="C37" s="33" t="s">
        <v>62</v>
      </c>
      <c r="D37" s="58" t="s">
        <v>443</v>
      </c>
      <c r="E37" s="19" t="s">
        <v>416</v>
      </c>
      <c r="F37" s="20" t="s">
        <v>586</v>
      </c>
      <c r="G37" s="20" t="s">
        <v>35</v>
      </c>
      <c r="H37" s="21" t="s">
        <v>35</v>
      </c>
      <c r="I37" s="21" t="s">
        <v>29</v>
      </c>
      <c r="J37" s="21" t="s">
        <v>35</v>
      </c>
      <c r="K37" s="22" t="s">
        <v>89</v>
      </c>
      <c r="L37" s="22" t="s">
        <v>35</v>
      </c>
      <c r="M37" s="22" t="s">
        <v>351</v>
      </c>
      <c r="N37" s="22" t="s">
        <v>417</v>
      </c>
      <c r="O37" s="22" t="s">
        <v>418</v>
      </c>
      <c r="P37" s="22" t="s">
        <v>35</v>
      </c>
      <c r="Q37" s="23" t="s">
        <v>444</v>
      </c>
    </row>
    <row r="38" spans="1:17" ht="28.8" hidden="1" x14ac:dyDescent="0.3">
      <c r="A38" s="9" t="s">
        <v>432</v>
      </c>
      <c r="B38" s="7">
        <v>12</v>
      </c>
      <c r="C38" s="33" t="s">
        <v>63</v>
      </c>
      <c r="D38" s="58" t="s">
        <v>445</v>
      </c>
      <c r="E38" s="19" t="s">
        <v>357</v>
      </c>
      <c r="F38" s="20" t="s">
        <v>446</v>
      </c>
      <c r="G38" s="20" t="s">
        <v>35</v>
      </c>
      <c r="H38" s="21" t="s">
        <v>29</v>
      </c>
      <c r="I38" s="21" t="s">
        <v>35</v>
      </c>
      <c r="J38" s="21" t="s">
        <v>35</v>
      </c>
      <c r="K38" s="22" t="s">
        <v>89</v>
      </c>
      <c r="L38" s="22" t="s">
        <v>35</v>
      </c>
      <c r="M38" s="22" t="s">
        <v>379</v>
      </c>
      <c r="N38" s="22" t="s">
        <v>417</v>
      </c>
      <c r="O38" s="22" t="s">
        <v>418</v>
      </c>
      <c r="P38" s="22" t="s">
        <v>29</v>
      </c>
      <c r="Q38" s="23" t="s">
        <v>447</v>
      </c>
    </row>
    <row r="39" spans="1:17" ht="28.8" hidden="1" x14ac:dyDescent="0.3">
      <c r="A39" s="9" t="s">
        <v>432</v>
      </c>
      <c r="B39" s="7">
        <v>13</v>
      </c>
      <c r="C39" s="33" t="s">
        <v>478</v>
      </c>
      <c r="D39" s="58" t="s">
        <v>486</v>
      </c>
      <c r="E39" s="19" t="s">
        <v>416</v>
      </c>
      <c r="F39" s="20" t="s">
        <v>487</v>
      </c>
      <c r="G39" s="20" t="s">
        <v>35</v>
      </c>
      <c r="H39" s="21" t="s">
        <v>35</v>
      </c>
      <c r="I39" s="21" t="s">
        <v>29</v>
      </c>
      <c r="J39" s="21" t="s">
        <v>29</v>
      </c>
      <c r="K39" s="22" t="s">
        <v>89</v>
      </c>
      <c r="L39" s="22" t="s">
        <v>35</v>
      </c>
      <c r="M39" s="22" t="s">
        <v>351</v>
      </c>
      <c r="N39" s="22" t="s">
        <v>417</v>
      </c>
      <c r="O39" s="22" t="s">
        <v>418</v>
      </c>
      <c r="P39" s="22" t="s">
        <v>35</v>
      </c>
      <c r="Q39" s="23" t="s">
        <v>485</v>
      </c>
    </row>
    <row r="40" spans="1:17" hidden="1" x14ac:dyDescent="0.3">
      <c r="A40" s="9" t="s">
        <v>432</v>
      </c>
      <c r="B40" s="7">
        <v>14</v>
      </c>
      <c r="C40" s="33" t="s">
        <v>64</v>
      </c>
      <c r="D40" s="58" t="s">
        <v>448</v>
      </c>
      <c r="E40" s="19" t="s">
        <v>416</v>
      </c>
      <c r="F40" s="20" t="s">
        <v>420</v>
      </c>
      <c r="G40" s="20" t="s">
        <v>35</v>
      </c>
      <c r="H40" s="21" t="s">
        <v>35</v>
      </c>
      <c r="I40" s="21" t="s">
        <v>29</v>
      </c>
      <c r="J40" s="21" t="s">
        <v>29</v>
      </c>
      <c r="K40" s="22" t="s">
        <v>89</v>
      </c>
      <c r="L40" s="22" t="s">
        <v>35</v>
      </c>
      <c r="M40" s="22" t="s">
        <v>351</v>
      </c>
      <c r="N40" s="22" t="s">
        <v>417</v>
      </c>
      <c r="O40" s="22" t="s">
        <v>418</v>
      </c>
      <c r="P40" s="22" t="s">
        <v>35</v>
      </c>
      <c r="Q40" s="23" t="s">
        <v>449</v>
      </c>
    </row>
    <row r="41" spans="1:17" ht="28.8" hidden="1" x14ac:dyDescent="0.3">
      <c r="A41" s="9" t="s">
        <v>432</v>
      </c>
      <c r="B41" s="7">
        <v>15</v>
      </c>
      <c r="C41" s="33" t="s">
        <v>479</v>
      </c>
      <c r="D41" s="58" t="s">
        <v>490</v>
      </c>
      <c r="E41" s="19" t="s">
        <v>416</v>
      </c>
      <c r="F41" s="20" t="s">
        <v>483</v>
      </c>
      <c r="G41" s="20" t="s">
        <v>35</v>
      </c>
      <c r="H41" s="21" t="s">
        <v>35</v>
      </c>
      <c r="I41" s="21" t="s">
        <v>29</v>
      </c>
      <c r="J41" s="21" t="s">
        <v>29</v>
      </c>
      <c r="K41" s="22" t="s">
        <v>89</v>
      </c>
      <c r="L41" s="22" t="s">
        <v>35</v>
      </c>
      <c r="M41" s="22" t="s">
        <v>351</v>
      </c>
      <c r="N41" s="22" t="s">
        <v>417</v>
      </c>
      <c r="O41" s="22" t="s">
        <v>418</v>
      </c>
      <c r="P41" s="22" t="s">
        <v>35</v>
      </c>
      <c r="Q41" s="23" t="s">
        <v>491</v>
      </c>
    </row>
    <row r="42" spans="1:17" hidden="1" x14ac:dyDescent="0.3">
      <c r="A42" s="9" t="s">
        <v>432</v>
      </c>
      <c r="B42" s="7">
        <v>16</v>
      </c>
      <c r="C42" s="33" t="s">
        <v>480</v>
      </c>
      <c r="D42" s="58" t="s">
        <v>492</v>
      </c>
      <c r="E42" s="19" t="s">
        <v>416</v>
      </c>
      <c r="F42" s="20" t="s">
        <v>420</v>
      </c>
      <c r="G42" s="20" t="s">
        <v>35</v>
      </c>
      <c r="H42" s="21" t="s">
        <v>35</v>
      </c>
      <c r="I42" s="21" t="s">
        <v>29</v>
      </c>
      <c r="J42" s="21" t="s">
        <v>29</v>
      </c>
      <c r="K42" s="22" t="s">
        <v>89</v>
      </c>
      <c r="L42" s="22" t="s">
        <v>35</v>
      </c>
      <c r="M42" s="22" t="s">
        <v>351</v>
      </c>
      <c r="N42" s="22" t="s">
        <v>417</v>
      </c>
      <c r="O42" s="22" t="s">
        <v>418</v>
      </c>
      <c r="P42" s="22" t="s">
        <v>35</v>
      </c>
      <c r="Q42" s="23" t="s">
        <v>493</v>
      </c>
    </row>
    <row r="43" spans="1:17" hidden="1" x14ac:dyDescent="0.3">
      <c r="A43" s="9" t="s">
        <v>432</v>
      </c>
      <c r="B43" s="7">
        <v>17</v>
      </c>
      <c r="C43" s="33" t="s">
        <v>65</v>
      </c>
      <c r="D43" s="58" t="s">
        <v>450</v>
      </c>
      <c r="E43" s="19" t="s">
        <v>416</v>
      </c>
      <c r="F43" s="20" t="s">
        <v>488</v>
      </c>
      <c r="G43" s="20" t="s">
        <v>35</v>
      </c>
      <c r="H43" s="21" t="s">
        <v>35</v>
      </c>
      <c r="I43" s="21" t="s">
        <v>29</v>
      </c>
      <c r="J43" s="21" t="s">
        <v>29</v>
      </c>
      <c r="K43" s="22" t="s">
        <v>89</v>
      </c>
      <c r="L43" s="22" t="s">
        <v>35</v>
      </c>
      <c r="M43" s="22" t="s">
        <v>351</v>
      </c>
      <c r="N43" s="22" t="s">
        <v>417</v>
      </c>
      <c r="O43" s="22" t="s">
        <v>418</v>
      </c>
      <c r="P43" s="22" t="s">
        <v>35</v>
      </c>
      <c r="Q43" s="23" t="s">
        <v>452</v>
      </c>
    </row>
    <row r="44" spans="1:17" ht="28.8" hidden="1" x14ac:dyDescent="0.3">
      <c r="A44" s="9" t="s">
        <v>432</v>
      </c>
      <c r="B44" s="7">
        <v>18</v>
      </c>
      <c r="C44" s="33" t="s">
        <v>481</v>
      </c>
      <c r="D44" s="58" t="s">
        <v>494</v>
      </c>
      <c r="E44" s="19" t="s">
        <v>416</v>
      </c>
      <c r="F44" s="20" t="s">
        <v>420</v>
      </c>
      <c r="G44" s="20" t="s">
        <v>35</v>
      </c>
      <c r="H44" s="21" t="s">
        <v>35</v>
      </c>
      <c r="I44" s="21" t="s">
        <v>29</v>
      </c>
      <c r="J44" s="21" t="s">
        <v>29</v>
      </c>
      <c r="K44" s="22" t="s">
        <v>89</v>
      </c>
      <c r="L44" s="22" t="s">
        <v>35</v>
      </c>
      <c r="M44" s="22" t="s">
        <v>351</v>
      </c>
      <c r="N44" s="22" t="s">
        <v>417</v>
      </c>
      <c r="O44" s="22" t="s">
        <v>418</v>
      </c>
      <c r="P44" s="22" t="s">
        <v>35</v>
      </c>
      <c r="Q44" s="23" t="s">
        <v>567</v>
      </c>
    </row>
    <row r="45" spans="1:17" hidden="1" x14ac:dyDescent="0.3">
      <c r="A45" s="9" t="s">
        <v>432</v>
      </c>
      <c r="B45" s="7">
        <v>19</v>
      </c>
      <c r="C45" s="33" t="s">
        <v>482</v>
      </c>
      <c r="D45" s="58" t="s">
        <v>495</v>
      </c>
      <c r="E45" s="19" t="s">
        <v>416</v>
      </c>
      <c r="F45" s="20" t="s">
        <v>488</v>
      </c>
      <c r="G45" s="20" t="s">
        <v>35</v>
      </c>
      <c r="H45" s="21" t="s">
        <v>35</v>
      </c>
      <c r="I45" s="21" t="s">
        <v>29</v>
      </c>
      <c r="J45" s="21" t="s">
        <v>29</v>
      </c>
      <c r="K45" s="22" t="s">
        <v>89</v>
      </c>
      <c r="L45" s="22" t="s">
        <v>35</v>
      </c>
      <c r="M45" s="22" t="s">
        <v>351</v>
      </c>
      <c r="N45" s="22" t="s">
        <v>417</v>
      </c>
      <c r="O45" s="22" t="s">
        <v>418</v>
      </c>
      <c r="P45" s="22" t="s">
        <v>35</v>
      </c>
      <c r="Q45" s="23" t="s">
        <v>496</v>
      </c>
    </row>
    <row r="46" spans="1:17" ht="28.8" hidden="1" x14ac:dyDescent="0.3">
      <c r="A46" s="9" t="s">
        <v>432</v>
      </c>
      <c r="B46" s="7">
        <v>20</v>
      </c>
      <c r="C46" s="33" t="s">
        <v>66</v>
      </c>
      <c r="D46" s="58" t="s">
        <v>453</v>
      </c>
      <c r="E46" s="19" t="s">
        <v>349</v>
      </c>
      <c r="F46" s="20" t="s">
        <v>489</v>
      </c>
      <c r="G46" s="20" t="s">
        <v>35</v>
      </c>
      <c r="H46" s="21" t="s">
        <v>35</v>
      </c>
      <c r="I46" s="21" t="s">
        <v>35</v>
      </c>
      <c r="J46" s="21" t="s">
        <v>29</v>
      </c>
      <c r="K46" s="22" t="s">
        <v>89</v>
      </c>
      <c r="L46" s="22" t="s">
        <v>35</v>
      </c>
      <c r="M46" s="22" t="s">
        <v>360</v>
      </c>
      <c r="N46" s="22" t="s">
        <v>352</v>
      </c>
      <c r="O46" s="22" t="s">
        <v>352</v>
      </c>
      <c r="P46" s="22" t="s">
        <v>35</v>
      </c>
      <c r="Q46" s="23" t="s">
        <v>454</v>
      </c>
    </row>
    <row r="47" spans="1:17" ht="28.8" hidden="1" x14ac:dyDescent="0.3">
      <c r="A47" s="9" t="s">
        <v>432</v>
      </c>
      <c r="B47" s="7">
        <v>21</v>
      </c>
      <c r="C47" s="26" t="s">
        <v>67</v>
      </c>
      <c r="D47" s="58" t="s">
        <v>455</v>
      </c>
      <c r="E47" s="19" t="s">
        <v>357</v>
      </c>
      <c r="F47" s="24" t="s">
        <v>382</v>
      </c>
      <c r="G47" s="20" t="s">
        <v>35</v>
      </c>
      <c r="H47" s="21" t="s">
        <v>35</v>
      </c>
      <c r="I47" s="21" t="s">
        <v>35</v>
      </c>
      <c r="J47" s="21" t="s">
        <v>35</v>
      </c>
      <c r="K47" s="22" t="s">
        <v>89</v>
      </c>
      <c r="L47" s="22" t="s">
        <v>29</v>
      </c>
      <c r="M47" s="22" t="s">
        <v>360</v>
      </c>
      <c r="N47" s="22" t="s">
        <v>352</v>
      </c>
      <c r="O47" s="22" t="s">
        <v>352</v>
      </c>
      <c r="P47" s="22" t="s">
        <v>35</v>
      </c>
      <c r="Q47" s="23" t="s">
        <v>456</v>
      </c>
    </row>
    <row r="48" spans="1:17" ht="28.8" hidden="1" x14ac:dyDescent="0.3">
      <c r="A48" s="9" t="s">
        <v>432</v>
      </c>
      <c r="B48" s="7">
        <v>22</v>
      </c>
      <c r="C48" s="33" t="s">
        <v>68</v>
      </c>
      <c r="D48" s="58" t="s">
        <v>457</v>
      </c>
      <c r="E48" s="19" t="s">
        <v>357</v>
      </c>
      <c r="F48" s="24" t="s">
        <v>382</v>
      </c>
      <c r="G48" s="20" t="s">
        <v>35</v>
      </c>
      <c r="H48" s="21" t="s">
        <v>35</v>
      </c>
      <c r="I48" s="21" t="s">
        <v>35</v>
      </c>
      <c r="J48" s="21" t="s">
        <v>35</v>
      </c>
      <c r="K48" s="22" t="s">
        <v>89</v>
      </c>
      <c r="L48" s="22" t="s">
        <v>29</v>
      </c>
      <c r="M48" s="22" t="s">
        <v>360</v>
      </c>
      <c r="N48" s="22" t="s">
        <v>352</v>
      </c>
      <c r="O48" s="22" t="s">
        <v>352</v>
      </c>
      <c r="P48" s="22" t="s">
        <v>35</v>
      </c>
      <c r="Q48" s="23" t="s">
        <v>458</v>
      </c>
    </row>
    <row r="49" spans="1:17" ht="43.2" hidden="1" x14ac:dyDescent="0.3">
      <c r="A49" s="9" t="s">
        <v>432</v>
      </c>
      <c r="B49" s="7">
        <v>23</v>
      </c>
      <c r="C49" s="33" t="s">
        <v>69</v>
      </c>
      <c r="D49" s="58" t="s">
        <v>459</v>
      </c>
      <c r="E49" s="19" t="s">
        <v>357</v>
      </c>
      <c r="F49" s="20" t="s">
        <v>460</v>
      </c>
      <c r="G49" s="20" t="s">
        <v>35</v>
      </c>
      <c r="H49" s="21" t="s">
        <v>29</v>
      </c>
      <c r="I49" s="21" t="s">
        <v>35</v>
      </c>
      <c r="J49" s="21" t="s">
        <v>35</v>
      </c>
      <c r="K49" s="22" t="s">
        <v>89</v>
      </c>
      <c r="L49" s="22" t="s">
        <v>35</v>
      </c>
      <c r="M49" s="22"/>
      <c r="N49" s="22"/>
      <c r="O49" s="22"/>
      <c r="P49" s="22" t="s">
        <v>29</v>
      </c>
      <c r="Q49" s="23" t="s">
        <v>600</v>
      </c>
    </row>
  </sheetData>
  <phoneticPr fontId="19" type="noConversion"/>
  <conditionalFormatting sqref="G2:G49">
    <cfRule type="expression" dxfId="5" priority="5">
      <formula>IF($G2="true",1,0)</formula>
    </cfRule>
  </conditionalFormatting>
  <conditionalFormatting sqref="H2:H49">
    <cfRule type="expression" dxfId="4" priority="7">
      <formula>IF($H2="true",1,0)</formula>
    </cfRule>
  </conditionalFormatting>
  <conditionalFormatting sqref="I2:I49">
    <cfRule type="cellIs" dxfId="3" priority="2" operator="equal">
      <formula>"true"</formula>
    </cfRule>
  </conditionalFormatting>
  <conditionalFormatting sqref="J2:J49">
    <cfRule type="expression" dxfId="2" priority="6">
      <formula>IF($J2="true",1,0)</formula>
    </cfRule>
  </conditionalFormatting>
  <conditionalFormatting sqref="K2:K49">
    <cfRule type="expression" dxfId="1" priority="4">
      <formula>IF($K2&lt;&gt;"none",1,0)</formula>
    </cfRule>
  </conditionalFormatting>
  <conditionalFormatting sqref="L2:L49">
    <cfRule type="expression" dxfId="0" priority="3">
      <formula>IF($L2="true",1,0)</formula>
    </cfRule>
  </conditionalFormatting>
  <dataValidations count="6">
    <dataValidation type="list" showInputMessage="1" showErrorMessage="1" sqref="O11 N2:N49" xr:uid="{D390489B-D2EC-4169-BF55-4C0809B0690B}">
      <formula1>"up,center,down,"</formula1>
    </dataValidation>
    <dataValidation type="list" allowBlank="1" showInputMessage="1" showErrorMessage="1" sqref="O2:O10 O12:O49" xr:uid="{B4E8464F-798E-4996-B186-9C5B74FDE85A}">
      <formula1>"left,center,right,"</formula1>
    </dataValidation>
    <dataValidation type="list" showInputMessage="1" showErrorMessage="1" sqref="E2:E49" xr:uid="{92C8B38C-AE75-485D-BA39-38E679C69393}">
      <formula1>"text,int,float,bool,"</formula1>
    </dataValidation>
    <dataValidation type="list" showInputMessage="1" showErrorMessage="1" sqref="G2:J49 L2:L49" xr:uid="{DBEE043F-7460-4994-BFBF-9ADEB36E8C6E}">
      <formula1>"false,true,"</formula1>
    </dataValidation>
    <dataValidation type="list" allowBlank="1" showInputMessage="1" showErrorMessage="1" sqref="P2:P49" xr:uid="{70C4688D-8356-4AE9-8CF4-88699F7CA265}">
      <formula1>"false,true,"</formula1>
    </dataValidation>
    <dataValidation type="list" showInputMessage="1" showErrorMessage="1" sqref="M2:M49" xr:uid="{50BB42E0-455E-464F-9584-035F3278DBCA}">
      <formula1>"Числовой,Текстовый,Общий,"</formula1>
    </dataValidation>
  </dataValidations>
  <pageMargins left="0.7" right="0.7" top="0.75" bottom="0.75" header="0.3" footer="0.3"/>
  <pageSetup orientation="portrait"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322225-7B83-4341-B62F-97AE3F910C72}">
  <dimension ref="A1:H3"/>
  <sheetViews>
    <sheetView zoomScaleNormal="100" workbookViewId="0">
      <pane ySplit="1" topLeftCell="A3" activePane="bottomLeft" state="frozen"/>
      <selection pane="bottomLeft" activeCell="H3" sqref="H3"/>
    </sheetView>
  </sheetViews>
  <sheetFormatPr defaultRowHeight="14.4" x14ac:dyDescent="0.3"/>
  <cols>
    <col min="1" max="1" width="10.44140625" customWidth="1"/>
    <col min="2" max="2" width="36.5546875" style="2" customWidth="1"/>
    <col min="3" max="3" width="88.109375" customWidth="1"/>
    <col min="4" max="4" width="59.5546875" customWidth="1"/>
  </cols>
  <sheetData>
    <row r="1" spans="1:8" x14ac:dyDescent="0.3">
      <c r="A1" s="1" t="s">
        <v>0</v>
      </c>
      <c r="B1" s="1" t="s">
        <v>461</v>
      </c>
      <c r="C1" s="3" t="s">
        <v>462</v>
      </c>
      <c r="D1" s="4" t="s">
        <v>346</v>
      </c>
    </row>
    <row r="2" spans="1:8" ht="144" x14ac:dyDescent="0.3">
      <c r="A2" s="31">
        <v>1</v>
      </c>
      <c r="B2" s="43" t="s">
        <v>463</v>
      </c>
      <c r="C2" s="32" t="s">
        <v>464</v>
      </c>
      <c r="D2" s="34" t="s">
        <v>465</v>
      </c>
    </row>
    <row r="3" spans="1:8" ht="409.6" x14ac:dyDescent="0.3">
      <c r="A3" s="31">
        <v>2</v>
      </c>
      <c r="B3" s="43" t="s">
        <v>585</v>
      </c>
      <c r="C3" s="32" t="s">
        <v>598</v>
      </c>
      <c r="D3" s="34" t="s">
        <v>584</v>
      </c>
      <c r="H3" t="s">
        <v>599</v>
      </c>
    </row>
  </sheetData>
  <phoneticPr fontId="19" type="noConversion"/>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541243-70D1-49D0-A2D0-83374A70A6CC}">
  <dimension ref="A1:H8"/>
  <sheetViews>
    <sheetView workbookViewId="0">
      <selection activeCell="A4" sqref="A4:XFD4"/>
    </sheetView>
  </sheetViews>
  <sheetFormatPr defaultRowHeight="14.4" x14ac:dyDescent="0.3"/>
  <cols>
    <col min="1" max="1" width="7.5546875" bestFit="1" customWidth="1"/>
    <col min="2" max="2" width="80.88671875" bestFit="1" customWidth="1"/>
    <col min="3" max="3" width="12.88671875" bestFit="1" customWidth="1"/>
    <col min="4" max="4" width="12.21875" bestFit="1" customWidth="1"/>
    <col min="5" max="5" width="22.33203125" bestFit="1" customWidth="1"/>
    <col min="6" max="6" width="28.77734375" bestFit="1" customWidth="1"/>
    <col min="7" max="7" width="13.33203125" bestFit="1" customWidth="1"/>
    <col min="8" max="8" width="30.33203125" bestFit="1" customWidth="1"/>
  </cols>
  <sheetData>
    <row r="1" spans="1:8" x14ac:dyDescent="0.3">
      <c r="A1" s="8" t="s">
        <v>591</v>
      </c>
      <c r="B1" s="8" t="s">
        <v>386</v>
      </c>
      <c r="C1" s="8" t="s">
        <v>592</v>
      </c>
      <c r="D1" s="8" t="s">
        <v>593</v>
      </c>
      <c r="E1" s="8" t="s">
        <v>594</v>
      </c>
      <c r="F1" s="8" t="s">
        <v>595</v>
      </c>
      <c r="G1" s="8" t="s">
        <v>596</v>
      </c>
      <c r="H1" s="8" t="s">
        <v>597</v>
      </c>
    </row>
    <row r="2" spans="1:8" x14ac:dyDescent="0.3">
      <c r="A2" s="8" t="s">
        <v>75</v>
      </c>
      <c r="B2" s="93" t="s">
        <v>501</v>
      </c>
      <c r="C2" s="56" t="s">
        <v>33</v>
      </c>
      <c r="D2" s="8">
        <v>1</v>
      </c>
      <c r="E2" s="94">
        <v>234000</v>
      </c>
      <c r="F2" s="94">
        <v>234000</v>
      </c>
      <c r="G2" s="94">
        <v>51480</v>
      </c>
      <c r="H2" s="93">
        <v>25</v>
      </c>
    </row>
    <row r="3" spans="1:8" x14ac:dyDescent="0.3">
      <c r="A3" s="8" t="s">
        <v>76</v>
      </c>
      <c r="B3" s="93" t="s">
        <v>502</v>
      </c>
      <c r="C3" s="56" t="s">
        <v>33</v>
      </c>
      <c r="D3" s="8">
        <v>1</v>
      </c>
      <c r="E3" s="94">
        <v>62500</v>
      </c>
      <c r="F3" s="94">
        <v>62500</v>
      </c>
      <c r="G3" s="94">
        <v>13750</v>
      </c>
      <c r="H3" s="93">
        <v>10</v>
      </c>
    </row>
    <row r="4" spans="1:8" ht="28.8" x14ac:dyDescent="0.3">
      <c r="A4" s="8" t="s">
        <v>572</v>
      </c>
      <c r="B4" s="93" t="s">
        <v>504</v>
      </c>
      <c r="C4" s="56" t="s">
        <v>33</v>
      </c>
      <c r="D4" s="8">
        <v>1</v>
      </c>
      <c r="E4" s="94">
        <v>197800</v>
      </c>
      <c r="F4" s="94">
        <v>197800</v>
      </c>
      <c r="G4" s="94">
        <v>43516</v>
      </c>
      <c r="H4" s="93">
        <v>20</v>
      </c>
    </row>
    <row r="5" spans="1:8" x14ac:dyDescent="0.3">
      <c r="A5" s="8" t="s">
        <v>574</v>
      </c>
      <c r="B5" s="93" t="s">
        <v>506</v>
      </c>
      <c r="C5" s="56" t="s">
        <v>33</v>
      </c>
      <c r="D5" s="8">
        <v>1</v>
      </c>
      <c r="E5" s="94">
        <v>250000</v>
      </c>
      <c r="F5" s="94">
        <v>250000</v>
      </c>
      <c r="G5" s="94">
        <v>55000</v>
      </c>
      <c r="H5" s="93">
        <v>14</v>
      </c>
    </row>
    <row r="6" spans="1:8" x14ac:dyDescent="0.3">
      <c r="A6" s="8" t="s">
        <v>576</v>
      </c>
      <c r="B6" s="93" t="s">
        <v>508</v>
      </c>
      <c r="C6" s="56" t="s">
        <v>33</v>
      </c>
      <c r="D6" s="8">
        <v>1</v>
      </c>
      <c r="E6" s="94">
        <v>300000</v>
      </c>
      <c r="F6" s="94">
        <v>300000</v>
      </c>
      <c r="G6" s="94">
        <v>66000</v>
      </c>
      <c r="H6" s="93">
        <v>15</v>
      </c>
    </row>
    <row r="7" spans="1:8" ht="28.8" x14ac:dyDescent="0.3">
      <c r="A7" s="8" t="s">
        <v>579</v>
      </c>
      <c r="B7" s="93" t="s">
        <v>514</v>
      </c>
      <c r="C7" s="56" t="s">
        <v>33</v>
      </c>
      <c r="D7" s="8">
        <v>1</v>
      </c>
      <c r="E7" s="94">
        <v>62500</v>
      </c>
      <c r="F7" s="94">
        <v>62500</v>
      </c>
      <c r="G7" s="94">
        <v>13750</v>
      </c>
      <c r="H7" s="93">
        <v>12</v>
      </c>
    </row>
    <row r="8" spans="1:8" x14ac:dyDescent="0.3">
      <c r="A8" s="8" t="s">
        <v>581</v>
      </c>
      <c r="B8" s="93" t="s">
        <v>516</v>
      </c>
      <c r="C8" s="56" t="s">
        <v>33</v>
      </c>
      <c r="D8" s="8">
        <v>1</v>
      </c>
      <c r="E8" s="94">
        <v>75000</v>
      </c>
      <c r="F8" s="94">
        <v>75000</v>
      </c>
      <c r="G8" s="94">
        <v>16500</v>
      </c>
      <c r="H8" s="93">
        <v>12</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item1.xml>��
</file>

<file path=customXml/item2.xml>��
</file>

<file path=customXml/item3.xml>��
</file>

<file path=customXml/item4.xml>��
</file>

<file path=customXml/item5.xml>��
</file>

<file path=customXml/item6.xml>��
</file>

<file path=customXml/item7.xml>��
</file>

<file path=customXml/item8.xml>��!C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;1FC=0G5=85!C<<0 ?> AB>;1FC!C<<0 ?> AB>;1FC$>@<C;0!C<<0 ?> AB>;1FC=0G5=85!C<<0 ?> AB>;1FC!C<<0 ?> AB>;1FC$>@<C;0!C<<0 ?> AB>;1FC=0G5=85!C<<0 ?> AB>;1FC!C<<0 ?> AB>;1FC$>@<C;0!C<<0 ?> AB>;1FC=0G5=850:A8<C< 2 AB>;1F50:A8<C< 2 AB>;1F5$>@<C;00:A8<C< 2 AB>;1F5=0G5=85!C<<0 ?> AB>;1FC!C<<0 ?> AB>;1FC!C<<0 ?> AB>;1FC!C<<0 ?> AB>;1FC!C<<0 ?> AB>;1FC!C<<0 ?> AB>;1FC!C<<0 ?> AB>;1FC!C<<0 ?> AB>;1FC!C<<0 ?> AB>;1FC!C<<0 ?> AB>;1FC!C<<0 ?> AB>;1FC!C<<0 ?> AB>;1FC!C<<0 ?> AB>;1FC!C<<0 ?> AB>;1FC!C<<0 ?> AB>;1FC!C<<0 ?> AB>;1FC!C<<0 ?> AB>;1FC!C<<0 ?> AB>;1FC0:A8<C< 2 AB>;1F50:A8<C< 2 AB>;1F50:A8<C<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C;0!C<<0 ?> AB>;1FC=0G5=85!C<<0 ?> AB>;1FC!C<<0 ?> AB>;1FC$>@<C;0!C<<0 ?> AB>;1FC=0G5=85!C<<0 ?> AB>;1FC!C<<0 ?> AB>;1FC$>@<C;0!C<<0 ?> AB>;1FC=0G5=85'8A;> M;5<5=B>2 2 AB>;1F5'8A;> M;5<5=B>2 2 AB>;1F5$>@<C;0'8A;> M;5<5=B>2 2 AB>;1F5=0G5=85!C<<0 ?> AB>;1FC!C<<0 ?> AB>;1FC$>@<C;0!C<<0 ?> AB>;1FC=0G5=850:A8<C< 2 AB>;1F50:A8<C< 2 AB>;1F5$>@<C;00:A8<C< 2 AB>;1F5=0G5=85!C<<0 ?> AB>;1FC!C<<0 ?> AB>;1FC$>@<C;0!C<<0 ?> AB>;1FC=0G5=850:A8<C< 2 AB>;1F50:A8<C< 2 AB>;1F5$>@<C;00:A8<C< 2 AB>;1F5=0G5=850:A8<C< 2 AB>;1F50:A8<C< 2 AB>;1F5$>@<C;00:A8<C< 2 AB>;1F5=0G5=85'8A;> M;5<5=B>2 2 AB>;1F5'8A;> M;5<5=B>2 2 AB>;1F5$>@<C;0'8A;> M;5<5=B>2 2 AB>;1F5=0G5=85!C<<0 ?> AB>;1FC!C<<0 ?> AB>;1FC!C<<0 ?> AB>;1FC!C<<0 ?> AB>;1FC!C<<0 ?> AB>;1FC!C<<0 ?> AB>;1FC!C<<0 ?> AB>;1FC!C<<0 ?> AB>;1FC!C<<0 ?> AB>;1FC'8A;> M;5<5=B>2 2 AB>;1F5'8A;> M;5<5=B>2 2 AB>;1F5'8A;> M;5<5=B>2 2 AB>;1F5!C<<0 ?> AB>;1FC!C<<0 ?> AB>;1FC!C<<0 ?> AB>;1FC0:A8<C< 2 AB>;1F50:A8<C< 2 AB>;1F50:A8<C< 2 AB>;1F5!C<<0 ?> AB>;1FC!C<<0 ?> AB>;1FC!C<<0 ?> AB>;1FC0:A8<C< 2 AB>;1F50:A8<C< 2 AB>;1F50:A8<C< 2 AB>;1F50:A8<C< 2 AB>;1F50:A8<C< 2 AB>;1F50:A8<C< 2 AB>;1F5'8A;> M;5<5=B>2 2 AB>;1F5'8A;> M;5<5=B>2 2 AB>;1F5'8A;> M;5<5=B>2 2 AB>;1F5!C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C<<0 ?> AB>;1FC!C<<0 ?> AB>;1FC5O2=0O <5@0!C<<0 ?> AB>;1FC!C<<0 ?> AB>;1FC5O2=0O <5@0!C<<0 ?> AB>;1FC!C<<0 ?> AB>;1FC5O2=0O <5@0'8A;> M;5<5=B>2 2 AB>;1F5'8A;> M;5<5=B>2 2 AB>;1F55O2=0O <5@0!C<<0 ?> AB>;1FC!C<<0 ?> AB>;1FC5O2=0O <5@00:A8<C< 2 AB>;1F50:A8<C< 2 AB>;1F55O2=0O <5@0!C<<0 ?> AB>;1FC!C<<0 ?> AB>;1FC5O2=0O <5@00:A8<C< 2 AB>;1F50:A8<C< 2 AB>;1F55O2=0O <5@00:A8<C< 2 AB>;1F50:A8<C< 2 AB>;1F55O2=0O <5@0'8A;> M;5<5=B>2 2 AB>;1F5'8A;> M;5<5=B>2 2 AB>;1F55O2=0O <5@0!C<<0 ?> AB>;1FC!C<<0 ?> AB>;1FC5O2=0O <5@0!C<<0 ?> AB>;1FC!C<<0 ?> AB>;1FC5O2=0O <5@0!C<<0 ?> AB>;1FC!C<<0 ?> AB>;1FC5O2=0O <5@0!C<<0 ?> AB>;1FC!C<<0 ?> AB>;1FC5O2=0O <5@0!C<<0 ?> AB>;1FC!C<<0 ?> AB>;1FC5O2=0O <5@0!C<<0 ?> AB>;1FC!C<<0 ?> AB>;1FC5O2=0O <5@00:A8<C< 2 AB>;1F50:A8<C< 2 AB>;1F55O2=0O <5@0>=5G=0O B>G:0>=5G=0O B>G:0
</file>

<file path=customXml/item9.xml><?xml version="1.0" encoding="utf-8"?>
<ct:contentTypeSchema xmlns:ct="http://schemas.microsoft.com/office/2006/metadata/contentType" xmlns:ma="http://schemas.microsoft.com/office/2006/metadata/properties/metaAttributes" ct:_="" ma:_="" ma:contentTypeName="Документ" ma:contentTypeID="0x01010007D84D672F2E7C4DA6F6F01E8FEF9773" ma:contentTypeVersion="13" ma:contentTypeDescription="Создание документа." ma:contentTypeScope="" ma:versionID="f6dda1c99d74023e3a111e79bf30b7c9">
  <xsd:schema xmlns:xsd="http://www.w3.org/2001/XMLSchema" xmlns:xs="http://www.w3.org/2001/XMLSchema" xmlns:p="http://schemas.microsoft.com/office/2006/metadata/properties" xmlns:ns2="9d226c47-cd18-4964-9161-6ccb92249125" xmlns:ns3="00626a45-2e8b-44e2-b2b6-fb30aea60018" targetNamespace="http://schemas.microsoft.com/office/2006/metadata/properties" ma:root="true" ma:fieldsID="a59be56e0ac557e79a5799f6a1480222" ns2:_="" ns3:_="">
    <xsd:import namespace="9d226c47-cd18-4964-9161-6ccb92249125"/>
    <xsd:import namespace="00626a45-2e8b-44e2-b2b6-fb30aea6001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_x041f__x0440__x0438__x043c__x0435__x0447__x0430__x043d__x0438__x044f_"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226c47-cd18-4964-9161-6ccb922491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x041f__x0440__x0438__x043c__x0435__x0447__x0430__x043d__x0438__x044f_" ma:index="15" nillable="true" ma:displayName="Примечания" ma:format="Dropdown" ma:internalName="_x041f__x0440__x0438__x043c__x0435__x0447__x0430__x043d__x0438__x044f_">
      <xsd:simpleType>
        <xsd:restriction base="dms:Note">
          <xsd:maxLength value="255"/>
        </xsd:restriction>
      </xsd:simpleType>
    </xsd:element>
    <xsd:element name="lcf76f155ced4ddcb4097134ff3c332f" ma:index="19" nillable="true" ma:taxonomy="true" ma:internalName="lcf76f155ced4ddcb4097134ff3c332f" ma:taxonomyFieldName="MediaServiceImageTags" ma:displayName="Теги изображений" ma:readOnly="false" ma:fieldId="{5cf76f15-5ced-4ddc-b409-7134ff3c332f}" ma:taxonomyMulti="true" ma:sspId="4894c539-037d-4952-9f74-6cd15d93afd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626a45-2e8b-44e2-b2b6-fb30aea60018" elementFormDefault="qualified">
    <xsd:import namespace="http://schemas.microsoft.com/office/2006/documentManagement/types"/>
    <xsd:import namespace="http://schemas.microsoft.com/office/infopath/2007/PartnerControls"/>
    <xsd:element name="SharedWithUsers" ma:index="16" nillable="true" ma:displayName="Общий доступ с использованием"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Совместно с подробностями" ma:internalName="SharedWithDetails" ma:readOnly="true">
      <xsd:simpleType>
        <xsd:restriction base="dms:Note">
          <xsd:maxLength value="255"/>
        </xsd:restriction>
      </xsd:simpleType>
    </xsd:element>
    <xsd:element name="TaxCatchAll" ma:index="20" nillable="true" ma:displayName="Taxonomy Catch All Column" ma:hidden="true" ma:list="{2b58a218-790f-4d1a-8e96-ee40b99efd83}" ma:internalName="TaxCatchAll" ma:showField="CatchAllData" ma:web="00626a45-2e8b-44e2-b2b6-fb30aea6001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0.xml>��
</file>

<file path=customXml/item11.xml>��
</file>

<file path=customXml/item12.xml>��
</file>

<file path=customXml/item13.xml>��
</file>

<file path=customXml/item14.xml><?xml version="1.0" encoding="utf-8"?>
<?mso-contentType ?>
<FormTemplates xmlns="http://schemas.microsoft.com/sharepoint/v3/contenttype/forms">
  <Display>DocumentLibraryForm</Display>
  <Edit>DocumentLibraryForm</Edit>
  <New>DocumentLibraryForm</New>
</FormTemplates>
</file>

<file path=customXml/item15.xml>��
</file>

<file path=customXml/item16.xml>��
</file>

<file path=customXml/item17.xml><?xml version="1.0" encoding="utf-8"?>
<p:properties xmlns:p="http://schemas.microsoft.com/office/2006/metadata/properties" xmlns:xsi="http://www.w3.org/2001/XMLSchema-instance" xmlns:pc="http://schemas.microsoft.com/office/infopath/2007/PartnerControls">
  <documentManagement>
    <lcf76f155ced4ddcb4097134ff3c332f xmlns="9d226c47-cd18-4964-9161-6ccb92249125">
      <Terms xmlns="http://schemas.microsoft.com/office/infopath/2007/PartnerControls"/>
    </lcf76f155ced4ddcb4097134ff3c332f>
    <_x041f__x0440__x0438__x043c__x0435__x0447__x0430__x043d__x0438__x044f_ xmlns="9d226c47-cd18-4964-9161-6ccb92249125">Версия шаблона спецификации: rev.05 v03
Версия ETL процессора: rev.05 v03</_x041f__x0440__x0438__x043c__x0435__x0447__x0430__x043d__x0438__x044f_>
    <TaxCatchAll xmlns="00626a45-2e8b-44e2-b2b6-fb30aea60018" xsi:nil="true"/>
  </documentManagement>
</p:properties>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Props1.xml><?xml version="1.0" encoding="utf-8"?>
<ds:datastoreItem xmlns:ds="http://schemas.openxmlformats.org/officeDocument/2006/customXml" ds:itemID="{27164862-B4D0-42ED-B65B-7BFA235BB597}">
  <ds:schemaRefs>
    <ds:schemaRef ds:uri="http://gemini/pivotcustomization/TableXML_TabSpecificationWork_2"/>
  </ds:schemaRefs>
</ds:datastoreItem>
</file>

<file path=customXml/itemProps2.xml><?xml version="1.0" encoding="utf-8"?>
<ds:datastoreItem xmlns:ds="http://schemas.openxmlformats.org/officeDocument/2006/customXml" ds:itemID="{76690773-6F00-477C-A914-3ED7D15F6F95}">
  <ds:schemaRefs>
    <ds:schemaRef ds:uri="http://gemini/pivotcustomization/PowerPivotVersion"/>
  </ds:schemaRefs>
</ds:datastoreItem>
</file>

<file path=customXml/itemProps3.xml><?xml version="1.0" encoding="utf-8"?>
<ds:datastoreItem xmlns:ds="http://schemas.openxmlformats.org/officeDocument/2006/customXml" ds:itemID="{E7211B9E-D327-4E0E-8C5C-49BE9214F9B9}">
  <ds:schemaRefs>
    <ds:schemaRef ds:uri="http://gemini/pivotcustomization/TableXML_TabDepartamentMAS"/>
  </ds:schemaRefs>
</ds:datastoreItem>
</file>

<file path=customXml/itemProps4.xml><?xml version="1.0" encoding="utf-8"?>
<ds:datastoreItem xmlns:ds="http://schemas.openxmlformats.org/officeDocument/2006/customXml" ds:itemID="{05CC793E-835C-4C69-85A1-4B17AEF3B23A}">
  <ds:schemaRefs>
    <ds:schemaRef ds:uri="http://gemini/pivotcustomization/ClientWindowXML"/>
  </ds:schemaRefs>
</ds:datastoreItem>
</file>

<file path=customXml/itemProps5.xml><?xml version="1.0" encoding="utf-8"?>
<ds:datastoreItem xmlns:ds="http://schemas.openxmlformats.org/officeDocument/2006/customXml" ds:itemID="{2D1A7F6C-22DE-409F-8641-762CA85EFA7F}">
  <ds:schemaRefs>
    <ds:schemaRef ds:uri="http://gemini/pivotcustomization/ManualCalcMode"/>
  </ds:schemaRefs>
</ds:datastoreItem>
</file>

<file path=customXml/itemProps6.xml><?xml version="1.0" encoding="utf-8"?>
<ds:datastoreItem xmlns:ds="http://schemas.openxmlformats.org/officeDocument/2006/customXml" ds:itemID="{35062C89-A1C6-4B8A-B128-5C9C2944C808}">
  <ds:schemaRefs>
    <ds:schemaRef ds:uri="http://gemini/pivotcustomization/TableXML_TabPost"/>
  </ds:schemaRefs>
</ds:datastoreItem>
</file>

<file path=customXml/itemProps7.xml><?xml version="1.0" encoding="utf-8"?>
<ds:datastoreItem xmlns:ds="http://schemas.openxmlformats.org/officeDocument/2006/customXml" ds:itemID="{990A2903-C01D-4B4F-975E-D448D0E1A565}">
  <ds:schemaRefs>
    <ds:schemaRef ds:uri="http://gemini/pivotcustomization/SandboxNonEmpty"/>
  </ds:schemaRefs>
</ds:datastoreItem>
</file>

<file path=customXml/itemProps8.xml><?xml version="1.0" encoding="utf-8"?>
<ds:datastoreItem xmlns:ds="http://schemas.openxmlformats.org/officeDocument/2006/customXml" ds:itemID="{CE1858E8-BA2D-4875-9272-28444F7693F6}">
  <ds:schemaRefs>
    <ds:schemaRef ds:uri="http://gemini/pivotcustomization/Diagrams"/>
  </ds:schemaRefs>
</ds:datastoreItem>
</file>

<file path=customXml/itemProps9.xml><?xml version="1.0" encoding="utf-8"?>
<ds:datastoreItem xmlns:ds="http://schemas.openxmlformats.org/officeDocument/2006/customXml" ds:itemID="{74A0FFB9-2937-4E34-8B04-38B119617C0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226c47-cd18-4964-9161-6ccb92249125"/>
    <ds:schemaRef ds:uri="00626a45-2e8b-44e2-b2b6-fb30aea600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0.xml><?xml version="1.0" encoding="utf-8"?>
<ds:datastoreItem xmlns:ds="http://schemas.openxmlformats.org/officeDocument/2006/customXml" ds:itemID="{F59D988E-CCBF-4B04-B557-F52EF1998916}">
  <ds:schemaRefs>
    <ds:schemaRef ds:uri="http://gemini/pivotcustomization/IsSandboxEmbedded"/>
  </ds:schemaRefs>
</ds:datastoreItem>
</file>

<file path=customXml/itemProps11.xml><?xml version="1.0" encoding="utf-8"?>
<ds:datastoreItem xmlns:ds="http://schemas.openxmlformats.org/officeDocument/2006/customXml" ds:itemID="{CBBC371F-D438-4E26-899A-F00123216BBA}">
  <ds:schemaRefs>
    <ds:schemaRef ds:uri="http://gemini/pivotcustomization/ErrorCache"/>
  </ds:schemaRefs>
</ds:datastoreItem>
</file>

<file path=customXml/itemProps12.xml><?xml version="1.0" encoding="utf-8"?>
<ds:datastoreItem xmlns:ds="http://schemas.openxmlformats.org/officeDocument/2006/customXml" ds:itemID="{F3A1402B-BE07-46A2-BAA7-9AC352A3FA91}">
  <ds:schemaRefs>
    <ds:schemaRef ds:uri="http://gemini/pivotcustomization/TableXML_TabSpecificationWork_1"/>
  </ds:schemaRefs>
</ds:datastoreItem>
</file>

<file path=customXml/itemProps13.xml><?xml version="1.0" encoding="utf-8"?>
<ds:datastoreItem xmlns:ds="http://schemas.openxmlformats.org/officeDocument/2006/customXml" ds:itemID="{1227D4DB-7E94-4BAD-BCFC-DC0425447207}">
  <ds:schemaRefs>
    <ds:schemaRef ds:uri="http://gemini/pivotcustomization/TableXML_TabEmployeeList"/>
  </ds:schemaRefs>
</ds:datastoreItem>
</file>

<file path=customXml/itemProps14.xml><?xml version="1.0" encoding="utf-8"?>
<ds:datastoreItem xmlns:ds="http://schemas.openxmlformats.org/officeDocument/2006/customXml" ds:itemID="{CE7E273D-A254-40CF-AC3C-56F5D63719EA}">
  <ds:schemaRefs>
    <ds:schemaRef ds:uri="http://schemas.microsoft.com/sharepoint/v3/contenttype/forms"/>
  </ds:schemaRefs>
</ds:datastoreItem>
</file>

<file path=customXml/itemProps15.xml><?xml version="1.0" encoding="utf-8"?>
<ds:datastoreItem xmlns:ds="http://schemas.openxmlformats.org/officeDocument/2006/customXml" ds:itemID="{51580B3B-1C2D-4B17-A644-F5A72DFBE2C9}">
  <ds:schemaRefs>
    <ds:schemaRef ds:uri="http://gemini/pivotcustomization/LinkedTableUpdateMode"/>
  </ds:schemaRefs>
</ds:datastoreItem>
</file>

<file path=customXml/itemProps16.xml><?xml version="1.0" encoding="utf-8"?>
<ds:datastoreItem xmlns:ds="http://schemas.openxmlformats.org/officeDocument/2006/customXml" ds:itemID="{CCD3C4FF-65BF-403E-94C5-A7CC9DB96C19}">
  <ds:schemaRefs>
    <ds:schemaRef ds:uri="http://gemini/pivotcustomization/TableOrder"/>
  </ds:schemaRefs>
</ds:datastoreItem>
</file>

<file path=customXml/itemProps17.xml><?xml version="1.0" encoding="utf-8"?>
<ds:datastoreItem xmlns:ds="http://schemas.openxmlformats.org/officeDocument/2006/customXml" ds:itemID="{4F428D2F-958C-4F90-BAE5-DE993D97C453}">
  <ds:schemaRefs>
    <ds:schemaRef ds:uri="http://schemas.microsoft.com/office/infopath/2007/PartnerControls"/>
    <ds:schemaRef ds:uri="http://www.w3.org/XML/1998/namespace"/>
    <ds:schemaRef ds:uri="http://schemas.microsoft.com/office/2006/metadata/properties"/>
    <ds:schemaRef ds:uri="9d226c47-cd18-4964-9161-6ccb92249125"/>
    <ds:schemaRef ds:uri="http://schemas.openxmlformats.org/package/2006/metadata/core-properties"/>
    <ds:schemaRef ds:uri="http://schemas.microsoft.com/office/2006/documentManagement/types"/>
    <ds:schemaRef ds:uri="http://purl.org/dc/dcmitype/"/>
    <ds:schemaRef ds:uri="http://purl.org/dc/elements/1.1/"/>
    <ds:schemaRef ds:uri="http://purl.org/dc/terms/"/>
    <ds:schemaRef ds:uri="00626a45-2e8b-44e2-b2b6-fb30aea60018"/>
  </ds:schemaRefs>
</ds:datastoreItem>
</file>

<file path=customXml/itemProps18.xml><?xml version="1.0" encoding="utf-8"?>
<ds:datastoreItem xmlns:ds="http://schemas.openxmlformats.org/officeDocument/2006/customXml" ds:itemID="{72719360-00E5-4AA6-B91A-9C5D05D2BEE1}">
  <ds:schemaRefs>
    <ds:schemaRef ds:uri="http://gemini/pivotcustomization/FormulaBarState"/>
  </ds:schemaRefs>
</ds:datastoreItem>
</file>

<file path=customXml/itemProps19.xml><?xml version="1.0" encoding="utf-8"?>
<ds:datastoreItem xmlns:ds="http://schemas.openxmlformats.org/officeDocument/2006/customXml" ds:itemID="{2E2374CD-0C5A-429C-B090-58ED1E60F259}">
  <ds:schemaRefs>
    <ds:schemaRef ds:uri="http://gemini/pivotcustomization/TableWidget"/>
  </ds:schemaRefs>
</ds:datastoreItem>
</file>

<file path=customXml/itemProps20.xml><?xml version="1.0" encoding="utf-8"?>
<ds:datastoreItem xmlns:ds="http://schemas.openxmlformats.org/officeDocument/2006/customXml" ds:itemID="{AAA16094-6EFC-4DAB-BA70-5996474E7C0D}">
  <ds:schemaRefs>
    <ds:schemaRef ds:uri="http://schemas.microsoft.com/DataMashup"/>
  </ds:schemaRefs>
</ds:datastoreItem>
</file>

<file path=customXml/itemProps21.xml><?xml version="1.0" encoding="utf-8"?>
<ds:datastoreItem xmlns:ds="http://schemas.openxmlformats.org/officeDocument/2006/customXml" ds:itemID="{22398727-A402-4C12-A809-6661EE9DF75C}">
  <ds:schemaRefs>
    <ds:schemaRef ds:uri="http://gemini/pivotcustomization/ShowImplicitMeasures"/>
  </ds:schemaRefs>
</ds:datastoreItem>
</file>

<file path=customXml/itemProps22.xml><?xml version="1.0" encoding="utf-8"?>
<ds:datastoreItem xmlns:ds="http://schemas.openxmlformats.org/officeDocument/2006/customXml" ds:itemID="{690A8823-0FA6-4C6D-8530-3313241E28BF}">
  <ds:schemaRefs>
    <ds:schemaRef ds:uri="http://gemini/pivotcustomization/RelationshipAutoDetectionEnabled"/>
  </ds:schemaRefs>
</ds:datastoreItem>
</file>

<file path=customXml/itemProps23.xml><?xml version="1.0" encoding="utf-8"?>
<ds:datastoreItem xmlns:ds="http://schemas.openxmlformats.org/officeDocument/2006/customXml" ds:itemID="{E5D20989-897E-43AF-BCD1-629124E8DE46}">
  <ds:schemaRefs>
    <ds:schemaRef ds:uri="http://gemini/pivotcustomization/TableXML_TabDepartament"/>
  </ds:schemaRefs>
</ds:datastoreItem>
</file>

<file path=customXml/itemProps24.xml><?xml version="1.0" encoding="utf-8"?>
<ds:datastoreItem xmlns:ds="http://schemas.openxmlformats.org/officeDocument/2006/customXml" ds:itemID="{BEFD5417-6C9B-4484-B9FA-AD6C08857211}">
  <ds:schemaRefs>
    <ds:schemaRef ds:uri="http://gemini/pivotcustomization/MeasureGridState"/>
  </ds:schemaRefs>
</ds:datastoreItem>
</file>

<file path=customXml/itemProps25.xml><?xml version="1.0" encoding="utf-8"?>
<ds:datastoreItem xmlns:ds="http://schemas.openxmlformats.org/officeDocument/2006/customXml" ds:itemID="{620C677B-6476-4AB2-82D8-06CF3B1D2316}">
  <ds:schemaRefs>
    <ds:schemaRef ds:uri="http://gemini/pivotcustomization/ShowHidde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SpecificationWork_1</vt:lpstr>
      <vt:lpstr>SpecificationWork_2</vt:lpstr>
      <vt:lpstr>SpecificationWork</vt:lpstr>
      <vt:lpstr>Pivot</vt:lpstr>
      <vt:lpstr>HandbookProject</vt:lpstr>
      <vt:lpstr>HandbookBrand</vt:lpstr>
      <vt:lpstr>HandbookSupplier</vt:lpstr>
      <vt:lpstr>HandbookUnit</vt:lpstr>
      <vt:lpstr>TableSchema</vt:lpstr>
      <vt:lpstr>ConfigJSON</vt:lpstr>
      <vt:lpstr>SpecificationToCustomerFin</vt:lpstr>
    </vt:vector>
  </TitlesOfParts>
  <Manager>ivan.kukushkin@mas-tech.ru</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Наталья Кукушкина;ivan.kukushkin@mas-tech.ru</dc:creator>
  <cp:keywords/>
  <dc:description/>
  <cp:lastModifiedBy>Иван Кукушкин</cp:lastModifiedBy>
  <cp:revision/>
  <dcterms:created xsi:type="dcterms:W3CDTF">2023-07-03T07:42:32Z</dcterms:created>
  <dcterms:modified xsi:type="dcterms:W3CDTF">2026-09-29T12:57:43Z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0x01010007D84D672F2E7C4DA6F6F01E8FEF9773</vt:lpwstr>
  </property>
</Properties>
</file>