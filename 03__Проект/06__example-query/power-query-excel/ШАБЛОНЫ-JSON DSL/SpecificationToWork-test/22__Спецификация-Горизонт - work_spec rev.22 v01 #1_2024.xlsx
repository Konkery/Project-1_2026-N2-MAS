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Test/"/>
    </mc:Choice>
  </mc:AlternateContent>
  <xr:revisionPtr revIDLastSave="2399" documentId="8_{5C2F7409-843E-4E33-8F80-C8C6547CF27A}" xr6:coauthVersionLast="47" xr6:coauthVersionMax="47" xr10:uidLastSave="{79A6902C-CACC-4661-85FB-74837EE19FE8}"/>
  <bookViews>
    <workbookView xWindow="3405" yWindow="720" windowWidth="24255" windowHeight="14730" tabRatio="478" firstSheet="2" activeTab="5" xr2:uid="{00000000-000D-0000-FFFF-FFFF00000000}"/>
  </bookViews>
  <sheets>
    <sheet name="SpecificationWork" sheetId="7" r:id="rId1"/>
    <sheet name="HandbookBrand" sheetId="2" r:id="rId2"/>
    <sheet name="HandbookSupplier" sheetId="8" r:id="rId3"/>
    <sheet name="HandbookUnit" sheetId="9" r:id="rId4"/>
    <sheet name="СolumnDescriptions" sheetId="10" r:id="rId5"/>
    <sheet name="ConfigJSON" sheetId="11" r:id="rId6"/>
  </sheets>
  <definedNames>
    <definedName name="ExternalData_1" localSheetId="2" hidden="1">HandbookSupplier!$A$1:$B$47</definedName>
    <definedName name="ExternalData_1" localSheetId="3" hidden="1">HandbookUnit!$A$1:$B$3</definedName>
    <definedName name="ExternalData_2" localSheetId="1" hidden="1">HandbookBrand!#REF!</definedName>
    <definedName name="ExternalData_3" localSheetId="1" hidden="1">HandbookBrand!#REF!</definedName>
    <definedName name="ExternalData_4" localSheetId="1" hidden="1">HandbookBrand!$A$1:$B$86</definedName>
    <definedName name="ExternalData_5" localSheetId="1" hidden="1">HandbookBrand!#REF!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7" l="1"/>
  <c r="R10" i="7"/>
  <c r="X10" i="7"/>
  <c r="Z10" i="7" s="1"/>
  <c r="E7" i="7"/>
  <c r="E2" i="7"/>
  <c r="E3" i="7"/>
  <c r="E4" i="7"/>
  <c r="E5" i="7"/>
  <c r="E8" i="7"/>
  <c r="E6" i="7"/>
  <c r="E9" i="7"/>
  <c r="Y10" i="7" l="1"/>
  <c r="AA10" i="7" s="1"/>
  <c r="U10" i="7"/>
  <c r="U7" i="7" l="1"/>
  <c r="X7" i="7"/>
  <c r="Y7" i="7" s="1"/>
  <c r="AA7" i="7" s="1"/>
  <c r="R2" i="7"/>
  <c r="U2" i="7" s="1"/>
  <c r="R3" i="7"/>
  <c r="R4" i="7"/>
  <c r="U4" i="7" s="1"/>
  <c r="R5" i="7"/>
  <c r="U5" i="7" s="1"/>
  <c r="R8" i="7"/>
  <c r="U8" i="7" s="1"/>
  <c r="R6" i="7"/>
  <c r="R9" i="7"/>
  <c r="U9" i="7" s="1"/>
  <c r="X2" i="7"/>
  <c r="Z2" i="7" s="1"/>
  <c r="X3" i="7"/>
  <c r="Z3" i="7" s="1"/>
  <c r="X4" i="7"/>
  <c r="Z4" i="7" s="1"/>
  <c r="X5" i="7"/>
  <c r="X8" i="7"/>
  <c r="Z8" i="7" s="1"/>
  <c r="X6" i="7"/>
  <c r="Z6" i="7" s="1"/>
  <c r="X9" i="7"/>
  <c r="Z9" i="7" s="1"/>
  <c r="Y5" i="7" l="1"/>
  <c r="AA5" i="7" s="1"/>
  <c r="Y8" i="7"/>
  <c r="AA8" i="7" s="1"/>
  <c r="Y3" i="7"/>
  <c r="AA3" i="7" s="1"/>
  <c r="Y6" i="7"/>
  <c r="AA6" i="7" s="1"/>
  <c r="Y2" i="7"/>
  <c r="AA2" i="7" s="1"/>
  <c r="U6" i="7"/>
  <c r="U3" i="7"/>
  <c r="Z5" i="7"/>
  <c r="Y9" i="7"/>
  <c r="AA9" i="7" s="1"/>
  <c r="Y4" i="7"/>
  <c r="AA4" i="7" s="1"/>
  <c r="Z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tc={685E3499-96D5-4B47-8FE3-F52A8D96461C}</author>
    <author>tc={BB0BE1EA-D62B-48BB-99A1-9A3A3C13CA95}</author>
    <author>tc={56216CB9-46E1-4EC9-8DCA-72E60D605AFA}</author>
  </authors>
  <commentList>
    <comment ref="W3" authorId="0" shapeId="0" xr:uid="{685E3499-96D5-4B47-8FE3-F52A8D96461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 изменения в наценку, для сопоставления со стоимостью в спеке ЕВРАЗ</t>
      </text>
    </comment>
    <comment ref="W4" authorId="1" shapeId="0" xr:uid="{BB0BE1EA-D62B-48BB-99A1-9A3A3C13CA9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 изменения в наценку, для сопоставления со стоимостью в спеке ЕВРАЗ</t>
      </text>
    </comment>
    <comment ref="W5" authorId="2" shapeId="0" xr:uid="{56216CB9-46E1-4EC9-8DCA-72E60D605AF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 изменения в наценку, для сопоставления со стоимостью в спеке ЕВРАЗ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tc={ED9B6CA6-986E-4566-99F0-4027F85C7816}</author>
    <author>tc={69DE0156-E821-4715-BC82-AA52F0A41E1D}</author>
    <author>tc={3BB71004-7B0D-4943-B3BF-051721C28ACD}</author>
    <author>tc={E8CFB1EB-CB4D-4B14-9A0A-84DA5403CA61}</author>
  </authors>
  <commentList>
    <comment ref="A1" authorId="0" shapeId="0" xr:uid="{ED9B6CA6-986E-4566-99F0-4027F85C781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69DE0156-E821-4715-BC82-AA52F0A41E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3BB71004-7B0D-4943-B3BF-051721C28AC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E8CFB1EB-CB4D-4B14-9A0A-84DA5403CA6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AB620-ABCF-4EFF-961F-F4B992A3BB78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2" xr16:uid="{ECB919B8-4478-4C9D-83F8-F115544B0DB9}" keepAlive="1" name="Запрос — FuncSpecResultImage" description="Соединение с запросом &quot;FuncSpecResultImage&quot; в книге." type="5" refreshedVersion="0" background="1">
    <dbPr connection="Provider=Microsoft.Mashup.OleDb.1;Data Source=$Workbook$;Location=FuncSpecResultImage;Extended Properties=&quot;&quot;" command="SELECT * FROM [FuncSpecResultImage]"/>
  </connection>
  <connection id="3" xr16:uid="{7C170697-A067-4BED-B89E-6311B936AE3B}" keepAlive="1" name="Запрос — QueryDBimage" description="Соединение с запросом &quot;QueryDBimage&quot; в книге." type="5" refreshedVersion="0" background="1">
    <dbPr connection="Provider=Microsoft.Mashup.OleDb.1;Data Source=$Workbook$;Location=QueryDBimage;Extended Properties=&quot;&quot;" command="SELECT * FROM [QueryDBimage]"/>
  </connection>
  <connection id="4" xr16:uid="{DF062646-4EB7-4F03-B8EF-2D10A520BF4C}" keepAlive="1" name="Запрос — QuerySpecificationAll" description="Соединение с запросом &quot;QuerySpecificationAll&quot; в книге." type="5" refreshedVersion="0" background="1" saveData="1">
    <dbPr connection="Provider=Microsoft.Mashup.OleDb.1;Data Source=$Workbook$;Location=QuerySpecificationAll;Extended Properties=&quot;&quot;" command="SELECT * FROM [QuerySpecificationAll]"/>
  </connection>
  <connection id="5" xr16:uid="{2741444D-E04D-4683-88B9-E459F627496A}" keepAlive="1" name="Запрос — QuerySpecificationCustomer" description="Соединение с запросом &quot;QuerySpecificationCustomer&quot; в книге." type="5" refreshedVersion="0" background="1">
    <dbPr connection="Provider=Microsoft.Mashup.OleDb.1;Data Source=$Workbook$;Location=QuerySpecificationCustomer;Extended Properties=&quot;&quot;" command="SELECT * FROM [QuerySpecificationCustomer]"/>
  </connection>
  <connection id="6" xr16:uid="{6340247C-E97B-455C-886D-5C43F209A6E2}" keepAlive="1" name="Запрос — QuerySpecResultImage" description="Соединение с запросом &quot;QuerySpecResultImage&quot; в книге." type="5" refreshedVersion="8" background="1" saveData="1">
    <dbPr connection="Provider=Microsoft.Mashup.OleDb.1;Data Source=$Workbook$;Location=QuerySpecResultImage;Extended Properties=&quot;&quot;" command="SELECT * FROM [QuerySpecResultImage]"/>
  </connection>
  <connection id="7" xr16:uid="{C548DDD9-B2F0-473A-9B15-375E983D5436}" keepAlive="1" name="Запрос — QuerySpecResultNoImage" description="Соединение с запросом &quot;QuerySpecResultNoImage&quot; в книге." type="5" refreshedVersion="8" background="1" saveData="1">
    <dbPr connection="Provider=Microsoft.Mashup.OleDb.1;Data Source=$Workbook$;Location=QuerySpecResultNoImage;Extended Properties=&quot;&quot;" command="SELECT * FROM [QuerySpecResultNoImage]"/>
  </connection>
  <connection id="8" xr16:uid="{C96DBCB7-5A40-4CED-BDF8-CD94030EE203}" keepAlive="1" name="Запрос — QuerySupplier" description="Соединение с запросом &quot;QuerySupplier&quot; в книге." type="5" refreshedVersion="8" background="1" saveData="1">
    <dbPr connection="Provider=Microsoft.Mashup.OleDb.1;Data Source=$Workbook$;Location=QuerySupplier;Extended Properties=&quot;&quot;" command="SELECT * FROM [QuerySupplier]"/>
  </connection>
  <connection id="9" xr16:uid="{4A6E10B4-7F0E-4159-A988-A0E844B93003}" keepAlive="1" name="Запрос — QueryUnits" description="Соединение с запросом &quot;QueryUnits&quot; в книге." type="5" refreshedVersion="8" background="1" saveData="1">
    <dbPr connection="Provider=Microsoft.Mashup.OleDb.1;Data Source=$Workbook$;Location=QueryUnits;Extended Properties=&quot;&quot;" command="SELECT * FROM [QueryUnits]"/>
  </connection>
  <connection id="10" xr16:uid="{9203832A-213F-4805-AC55-9A1A1581B4BE}" keepAlive="1" name="Запрос — QueryVendorAndBrand" description="Соединение с запросом &quot;QueryVendorAndBrand&quot; в книге." type="5" refreshedVersion="8" background="1" saveData="1">
    <dbPr connection="Provider=Microsoft.Mashup.OleDb.1;Data Source=$Workbook$;Location=QueryVendorAndBrand;Extended Properties=&quot;&quot;" command="SELECT * FROM [QueryVendorAndBrand]"/>
  </connection>
  <connection id="11" xr16:uid="{AF334378-8B34-49D8-ACE3-AFF07EDA63D4}" keepAlive="1" name="Запрос — Вызванная функцияfnGetColumnNamesByTableName" description="Соединение с запросом &quot;Вызванная функцияfnGetColumnNamesByTableName&quot; в книге." type="5" refreshedVersion="0" background="1" saveData="1">
    <dbPr connection="Provider=Microsoft.Mashup.OleDb.1;Data Source=$Workbook$;Location=&quot;Вызванная функцияfnGetColumnNamesByTableName&quot;;Extended Properties=&quot;&quot;" command="SELECT * FROM [Вызванная функцияfnGetColumnNamesByTableName]"/>
  </connection>
</connections>
</file>

<file path=xl/sharedStrings.xml><?xml version="1.0" encoding="utf-8"?>
<sst xmlns="http://schemas.openxmlformats.org/spreadsheetml/2006/main" count="337" uniqueCount="218">
  <si>
    <t>№ п/п</t>
  </si>
  <si>
    <t>№ ИСХ</t>
  </si>
  <si>
    <t>№ КОМПЛЕКТА</t>
  </si>
  <si>
    <t>№ ПОРЯДКОВЫЙ В КОМПЛЕКТЕ</t>
  </si>
  <si>
    <t>№ ПОЛНЫЙ</t>
  </si>
  <si>
    <t>ОПИСАНИЕ КОМПЛЕКТА</t>
  </si>
  <si>
    <t>НАИМЕНОВАНИЕ</t>
  </si>
  <si>
    <t>ОПИСАНИЕ/ХАРАКТЕРИСТИКИ</t>
  </si>
  <si>
    <t>On-Off</t>
  </si>
  <si>
    <t>БРЕНД</t>
  </si>
  <si>
    <t>ПОСТАВЩИК</t>
  </si>
  <si>
    <t>АРТИКУЛ ПОСТАВЩИК</t>
  </si>
  <si>
    <t>АРТИКУЛ МАС</t>
  </si>
  <si>
    <t>ЕД ИЗМ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</si>
  <si>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</si>
  <si>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</si>
  <si>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</si>
  <si>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</si>
  <si>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</si>
  <si>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</si>
  <si>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 ПРОПОРЦИО-ТИ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</si>
  <si>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</si>
  <si>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</si>
  <si>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</si>
  <si>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</si>
  <si>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</si>
  <si>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ТРЕБОВАНИЯ ИСХОДНЫЕ</t>
  </si>
  <si>
    <t>ПРИМЕЧАНИЕ</t>
  </si>
  <si>
    <t>ССЫЛКА</t>
  </si>
  <si>
    <t>ИЗОБРАЖЕНИЕ ТМЦ</t>
  </si>
  <si>
    <t>on</t>
  </si>
  <si>
    <t>Gigabyte</t>
  </si>
  <si>
    <t>Киберкуб</t>
  </si>
  <si>
    <t>noname</t>
  </si>
  <si>
    <t>шт</t>
  </si>
  <si>
    <t xml:space="preserve">Комплект активного сетевого оборудования </t>
  </si>
  <si>
    <t>ORIGO</t>
  </si>
  <si>
    <t>OCS</t>
  </si>
  <si>
    <t>1000714105</t>
  </si>
  <si>
    <t>https://origo-networks.ru/products/1/16.html</t>
  </si>
  <si>
    <t>Huawei</t>
  </si>
  <si>
    <t>НАГ</t>
  </si>
  <si>
    <t>LR-Link</t>
  </si>
  <si>
    <t>Комплект пассивного сетевого оборудования  и межбложной коммутации</t>
  </si>
  <si>
    <t>SNR</t>
  </si>
  <si>
    <t>Модуль SFP с интерфейсом RJ45, до 100м</t>
  </si>
  <si>
    <t>SNR-SFP-T</t>
  </si>
  <si>
    <t>https://shop.nag.ru/catalog/01889.sfp-gbic-xfp-sfp-x2-xenpak-qsfp-cfp-moduli/02086.moduli-sfp/02132.snr-sfp-t</t>
  </si>
  <si>
    <t>3614958</t>
  </si>
  <si>
    <t>Патч корд предназначен для соединений ядрового коммутатора с патч панелью стойки с ПТК. Также предназначен для проведения тестовых нагузочных испытаний подключение полевых коммутаторов</t>
  </si>
  <si>
    <t>https://www.onlinetrade.ru/catalogue/vo_patch_kordy_odnomodovye-c6870/cabeus/opticheskiy_shnur_cabeus_fop_d_9_lc_lc_3m_duplex_lc_lc_9_125_sm_3m_lszh_fop_d_9_lc_lc_3m-3614958.html</t>
  </si>
  <si>
    <t>2329851</t>
  </si>
  <si>
    <t>Патч корд предназначен для межблочной коммутации в стойке ПТК</t>
  </si>
  <si>
    <t>https://www.onlinetrade.ru/catalogue/patch_kordy-c713/lanmaster/patch_kord_lanmaster_lszh_ftp_kat.6_3.0_m_krasnyy_lan_pc45_s6_3.0_rd-2329851.html</t>
  </si>
  <si>
    <t>2329849</t>
  </si>
  <si>
    <t>https://www.onlinetrade.ru/catalogue/patch_kordy-c713/lanmaster/patch_kord_lanmaster_lszh_ftp_kat.6_3.0_m_zheltyy_lan_pc45_s6_3.0_yl-2329849.html</t>
  </si>
  <si>
    <t>2329960</t>
  </si>
  <si>
    <t>https://www.onlinetrade.ru/catalogue/patch_kordy-c713/lanmaster/patch_kord_lanmaster_lszh_utp_kat.6_3.0_m_siniy_lan_pc45_u6_3.0_bl-2329960.html</t>
  </si>
  <si>
    <t>NMF-RP48LCUS2-TS-P1-1U-BK</t>
  </si>
  <si>
    <t>https://shop.nag.ru/catalog/07144.kross-opticheskij-stoechnyj-19/89815.kross-opticheskij-stoechnyj-19-1u/55059.nmf-rp48lcus2-ts-p1-1u-bk#description</t>
  </si>
  <si>
    <t>ID</t>
  </si>
  <si>
    <t>BRAND</t>
  </si>
  <si>
    <t>COMPANY_LABEL</t>
  </si>
  <si>
    <t>UNITS</t>
  </si>
  <si>
    <t>Амперка</t>
  </si>
  <si>
    <t>РоботБаза</t>
  </si>
  <si>
    <t>кп</t>
  </si>
  <si>
    <t>Знаток</t>
  </si>
  <si>
    <t>ОЗОН</t>
  </si>
  <si>
    <t>Pitsco</t>
  </si>
  <si>
    <t>Iarduino</t>
  </si>
  <si>
    <t>Arduino</t>
  </si>
  <si>
    <t>LiitoKala</t>
  </si>
  <si>
    <t>Feetech</t>
  </si>
  <si>
    <t>Амперкот</t>
  </si>
  <si>
    <t>61mcu</t>
  </si>
  <si>
    <t>Supereyes</t>
  </si>
  <si>
    <t>DFRobot</t>
  </si>
  <si>
    <t>Platan</t>
  </si>
  <si>
    <t>Yahboom</t>
  </si>
  <si>
    <t>Robotclass</t>
  </si>
  <si>
    <t>Hipe</t>
  </si>
  <si>
    <t>Вольтмастер</t>
  </si>
  <si>
    <t>Fixfly</t>
  </si>
  <si>
    <t>ХоббиРу</t>
  </si>
  <si>
    <t>Sharp</t>
  </si>
  <si>
    <t>МИНИБОТ</t>
  </si>
  <si>
    <t>МАСОР</t>
  </si>
  <si>
    <t>Паркфлаер</t>
  </si>
  <si>
    <t>МЭЛТ</t>
  </si>
  <si>
    <t>Kingbright</t>
  </si>
  <si>
    <t>RC-TODAY.RU</t>
  </si>
  <si>
    <t xml:space="preserve">Texas Instruments </t>
  </si>
  <si>
    <t>PLUS3</t>
  </si>
  <si>
    <t>Philips</t>
  </si>
  <si>
    <t>IP-mania</t>
  </si>
  <si>
    <t>Epcos</t>
  </si>
  <si>
    <t>X-models</t>
  </si>
  <si>
    <t>WeMos</t>
  </si>
  <si>
    <t>RcDrive</t>
  </si>
  <si>
    <t>LG</t>
  </si>
  <si>
    <t>RC-GO.RU</t>
  </si>
  <si>
    <t>FlySky</t>
  </si>
  <si>
    <t>Air-hobby.ru</t>
  </si>
  <si>
    <t>Nanopix</t>
  </si>
  <si>
    <t>RCcopter.ru</t>
  </si>
  <si>
    <t xml:space="preserve">Racerstar </t>
  </si>
  <si>
    <t>MyDrone</t>
  </si>
  <si>
    <t>DJI</t>
  </si>
  <si>
    <t>CompactTool</t>
  </si>
  <si>
    <t>AKK Technology</t>
  </si>
  <si>
    <t>RoboShop</t>
  </si>
  <si>
    <t>Eachine</t>
  </si>
  <si>
    <t>Duino</t>
  </si>
  <si>
    <t>Happymodel</t>
  </si>
  <si>
    <t>Умные модули</t>
  </si>
  <si>
    <t>BETAFPV</t>
  </si>
  <si>
    <t>Город карт</t>
  </si>
  <si>
    <t>HQProp</t>
  </si>
  <si>
    <t>Robot-kit</t>
  </si>
  <si>
    <t>Gaoneng</t>
  </si>
  <si>
    <t>Dinogy</t>
  </si>
  <si>
    <t>18650pro.ru</t>
  </si>
  <si>
    <t>Bringsmart</t>
  </si>
  <si>
    <t>SkyRC</t>
  </si>
  <si>
    <t>ДНС</t>
  </si>
  <si>
    <t>Hyperline</t>
  </si>
  <si>
    <t>Ситилинк</t>
  </si>
  <si>
    <t xml:space="preserve">Waveshare </t>
  </si>
  <si>
    <t>Raspberry PI</t>
  </si>
  <si>
    <t>OnPad</t>
  </si>
  <si>
    <t>ClimateGuard</t>
  </si>
  <si>
    <t>МАС</t>
  </si>
  <si>
    <t>Sciosense</t>
  </si>
  <si>
    <t>Альбитех</t>
  </si>
  <si>
    <t>Samsung</t>
  </si>
  <si>
    <t>Чип и Дип</t>
  </si>
  <si>
    <t>Элком+</t>
  </si>
  <si>
    <t>Parts Direct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</si>
  <si>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</si>
  <si>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</si>
  <si>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</si>
  <si>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</si>
  <si>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</si>
  <si>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</si>
  <si>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</si>
  <si>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</si>
  <si>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</si>
  <si>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</si>
  <si>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</si>
  <si>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</si>
  <si>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</si>
  <si>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</si>
  <si>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</si>
  <si>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</si>
  <si>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</si>
  <si>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</si>
  <si>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</si>
  <si>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</si>
  <si>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</si>
  <si>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</si>
  <si>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</si>
  <si>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</si>
  <si>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</si>
  <si>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</si>
  <si>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</si>
  <si>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</si>
  <si>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Модуль SFP с скоростью передачи 1Gb, тип интерфейса RG45. Предназначен для подключения вспомагательного оборудования такого как ИБП, операторские рабочие места и оборудования от заказчика.
Код товара: 02132
Получен</t>
  </si>
  <si>
    <t>Cabeus</t>
  </si>
  <si>
    <t>TFortis</t>
  </si>
  <si>
    <t>479915</t>
  </si>
  <si>
    <t>https://luis.ru/p/479915</t>
  </si>
  <si>
    <t>Коммутаторы полевого уровня, обслуживающие датчики измерительной  установки 1D, 2D и др.
P/N: OS3228/A1A
Дополнительная закупка резервного оборудования по итогам совещания с Заказчиком</t>
  </si>
  <si>
    <t xml:space="preserve">установка в серверную стойку с ПТК
</t>
  </si>
  <si>
    <t>Шкаф с оптической патч панелью и коммутатором размещается на установке для развязки и подключения бронированных кабелей от полевых коммутаторов и кабелей до серверной стойки с ПТК
Получен счет Луис+</t>
  </si>
  <si>
    <t>MikroTik</t>
  </si>
  <si>
    <t>Яндекс</t>
  </si>
  <si>
    <t>Sonoff</t>
  </si>
  <si>
    <t>D-Link</t>
  </si>
  <si>
    <t>Aqara</t>
  </si>
  <si>
    <t>Spruthub</t>
  </si>
  <si>
    <t>ОнЛайн Трейд</t>
  </si>
  <si>
    <t>DEM-432XT</t>
  </si>
  <si>
    <t>Десятигигабитный оптический SFP+ трансивер
Интерфейсы: 1 порт 10GBase-LR
Форм-фактор: SFP+
Разъем: дуплексный LC
Режим работы: однонаправленный
Тип кабеля: одномодовый
Стандарт: IEEE 802.3ae 10GBase-LR
Расстояние передачи данных: 10 км
Скорость передачи данных: 10 Гбит/с
Выходная оптическая мощность (Tx):макс 0.5 дБм, мин -8  дБм
Входная оптическая мощность (Rx): макс -1  дБм, мин -14.4 дБм
Чувствительность: -14.4 дБм
Температура рабочая:  0 - 70 °C</t>
  </si>
  <si>
    <t>https://www.dssl.ru/products/432xt-b1a-sfp-modul/</t>
  </si>
  <si>
    <t>ЛУИС+ Самара</t>
  </si>
  <si>
    <t>ДССЛ</t>
  </si>
  <si>
    <t>Tfortis</t>
  </si>
  <si>
    <t>Lanmaster</t>
  </si>
  <si>
    <t>32109</t>
  </si>
  <si>
    <t>NIKOMAX</t>
  </si>
  <si>
    <t>Патч-корд оптический LC-LC-SM duplex</t>
  </si>
  <si>
    <t>OS3228</t>
  </si>
  <si>
    <t>Патч-корд RG45 cat 6 3 м красный</t>
  </si>
  <si>
    <t>Патч-корд RG45 cat 6 3 м желтый</t>
  </si>
  <si>
    <t>Патч-корд RG45 cat 6 3 м синий</t>
  </si>
  <si>
    <t>Патч-корд RG45 cat 6 
Длина: 3 м 
Цвет: красный</t>
  </si>
  <si>
    <t>Патч-корд RG45 cat 6 
Длина: 3 м 
Цвет: желтый</t>
  </si>
  <si>
    <t>Патч-корд RG45 cat 6 
Длина: 3 м 
Цвет: синий</t>
  </si>
  <si>
    <t>Управляемый L3 коммутатор
Количество гигабитных портов RJ-45: 24
Количество портов 10G SFP+: 4
Динамическая маршрутизация RIP, OSPF, BGP
Статическая маршрутизация
802.1Q VLAN, Selective Q-in-Q, Multicast VLAN
Аутентификация 802.1X, ACL, Port Security
Широкий набор функций QoS для приоритизации трафика
IGMP/MLD Snooping для работы с multicast-трафиком
ERPS, STP/RSTP/MSTP, LoopBack Detection для отказоустойчивости
Администрирование через Web-интерфейс, Telnet, SSH, Console, SNMP
Питание
Напряжение питания: 100-240 VAC
Мощность блоков питания: 23,2 Вт
Количество блоков питания: 1 шт
Размеры (Д x Ш x В): 441 x 207 x 44 мм
Вес: 2,74 кг</t>
  </si>
  <si>
    <t xml:space="preserve">Оптический кросс 19" 1U 24 порта  </t>
  </si>
  <si>
    <t xml:space="preserve">Оптический кросс 19" 1U 24 порта
Тип портов: LC
Тип волокна: SM 9/125 OS2
</t>
  </si>
  <si>
    <t>Патч-корд оптический LC-LC-SM duplex
Тип коннектора 1: LC
Тип коннектора 2: LC
Кабель: одномодовый
Длина: 3 метра</t>
  </si>
  <si>
    <t>СOLUMNS_NAME</t>
  </si>
  <si>
    <t>СOLUMN_DESCRIPTIONS</t>
  </si>
  <si>
    <t>TABLE_NAME</t>
  </si>
  <si>
    <t>IDnum</t>
  </si>
  <si>
    <t>IDconfig</t>
  </si>
  <si>
    <t>CONFIG_JSON</t>
  </si>
  <si>
    <t>COMMENT</t>
  </si>
  <si>
    <t>ПРИЗНАК ПОСТ ОБРАБОТКИ</t>
  </si>
  <si>
    <t>none</t>
  </si>
  <si>
    <t>modify</t>
  </si>
  <si>
    <t>delete</t>
  </si>
  <si>
    <t>Шкаф с оптическим кроссом и встроенным коммутатором уличный, неуправляемый, 2 SFP-слота, РоЕ+</t>
  </si>
  <si>
    <t>Шкаф с оптическим кроссом и встроенным коммутатором уличный, неуправляемый, 2 SFP-слота, РоЕ+
Два SFP-слота / Встроенный оптический кросс РоЕ+  802.3at (60W) на всех портах
Диапазон рабочих температур: -60 °С ... 50 °С
Класс защиты IP: IP66
Материал корпуса: пластик
Масса: 3.6 кг
Исполнение: неуправляемый
Порты PoE: количество портов 4 шт, до 60 Вт на порт
Порты SFP: количество портов 2 шт, стандарт SFP
Габаритные размеры: ДxШxВ 360 мм x 240 мм x 120 мм
Питание: AC, 230 В, 200 Вт
Пропускная способность: 4.8 Гбит/с</t>
  </si>
  <si>
    <t>Модуль SFP с интерфейсом RJ45, до 100м
Тип модуля: 1000 Base-T
Скорость модуля: 1Gbps
Форм-фактор модуля: модули SFP
Тип коннектора модуля: RJ45
Диапазон рабочих температур, °C: от -5 до 70
Максимальное расстояние, км: 0,1</t>
  </si>
  <si>
    <t>TabSpecificationWork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</si>
</sst>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/>
    <xf numFmtId="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49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9" fontId="13" fillId="0" borderId="1" xfId="3" applyNumberFormat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center" vertical="top" wrapText="1"/>
    </xf>
    <xf numFmtId="43" fontId="0" fillId="0" borderId="1" xfId="1" applyFon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 wrapText="1"/>
    </xf>
    <xf numFmtId="49" fontId="0" fillId="0" borderId="3" xfId="0" applyNumberFormat="1" applyBorder="1" applyAlignment="1">
      <alignment horizontal="left" vertical="top" wrapText="1"/>
    </xf>
    <xf numFmtId="49" fontId="0" fillId="0" borderId="3" xfId="0" applyNumberFormat="1" applyBorder="1" applyAlignment="1">
      <alignment vertical="top" wrapText="1"/>
    </xf>
    <xf numFmtId="49" fontId="0" fillId="0" borderId="4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43" fontId="0" fillId="0" borderId="3" xfId="1" applyFont="1" applyBorder="1" applyAlignment="1">
      <alignment horizontal="left" vertical="top" wrapText="1"/>
    </xf>
    <xf numFmtId="4" fontId="0" fillId="0" borderId="3" xfId="0" applyNumberFormat="1" applyBorder="1" applyAlignment="1">
      <alignment horizontal="right" vertical="top" wrapText="1"/>
    </xf>
    <xf numFmtId="2" fontId="0" fillId="0" borderId="3" xfId="0" applyNumberFormat="1" applyBorder="1" applyAlignment="1">
      <alignment horizontal="right" vertical="top" wrapText="1"/>
    </xf>
    <xf numFmtId="49" fontId="0" fillId="0" borderId="3" xfId="0" applyNumberForma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4" fontId="0" fillId="0" borderId="3" xfId="1" applyNumberFormat="1" applyFont="1" applyBorder="1" applyAlignment="1">
      <alignment horizontal="right" vertical="top" wrapText="1"/>
    </xf>
    <xf numFmtId="49" fontId="13" fillId="0" borderId="3" xfId="3" applyNumberForma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164" fontId="0" fillId="0" borderId="3" xfId="0" applyNumberFormat="1" applyBorder="1" applyAlignment="1">
      <alignment horizontal="right" vertical="top" wrapText="1"/>
    </xf>
    <xf numFmtId="49" fontId="5" fillId="0" borderId="3" xfId="0" applyNumberFormat="1" applyFont="1" applyBorder="1" applyAlignment="1">
      <alignment vertical="top" wrapText="1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0" fillId="0" borderId="3" xfId="0" applyNumberFormat="1" applyBorder="1" applyAlignment="1">
      <alignment horizontal="right" vertical="top" wrapText="1" indent="1"/>
    </xf>
    <xf numFmtId="49" fontId="12" fillId="0" borderId="1" xfId="0" applyNumberFormat="1" applyFont="1" applyBorder="1" applyAlignment="1">
      <alignment horizontal="right" vertical="top" wrapText="1" indent="1"/>
    </xf>
    <xf numFmtId="49" fontId="7" fillId="0" borderId="3" xfId="0" applyNumberFormat="1" applyFont="1" applyBorder="1" applyAlignment="1">
      <alignment horizontal="right" vertical="top" wrapText="1" indent="1"/>
    </xf>
    <xf numFmtId="49" fontId="3" fillId="0" borderId="3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0" xfId="0" applyFont="1"/>
  </cellXfs>
  <cellStyles count="4">
    <cellStyle name="Hyperlink" xfId="2" xr:uid="{5E131314-CB4A-4861-A483-75FD13BF36EC}"/>
    <cellStyle name="Гиперссылка" xfId="3" builtinId="8"/>
    <cellStyle name="Обычный" xfId="0" builtinId="0"/>
    <cellStyle name="Финансовый" xfId="1" builtinId="3"/>
  </cellStyles>
  <dxfs count="63"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</dxf>
    <dxf>
      <numFmt numFmtId="164" formatCode="0.000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2" formatCode="0.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5" formatCode="_-* #,##0.00_-;\-* #,##0.00_-;_-* &quot;-&quot;??_-;_-@_-"/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right" vertical="top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71D6E47B-F36F-40F8-8AE2-326F63EFDDEE}" userId="3a809852355ebf2e" providerId="Windows Live"/>
  <person displayName="Андрей Малявин" id="{D4DD7974-AC32-4871-BED9-1DDDE2DECF01}" userId="451cd1b435ab304f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00000000-0016-0000-0100-000002000000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BR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CC4BF91-1B91-4F57-8902-3B2F0F49115D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OMPANY_LAB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BEB6A23-6F96-4B72-92F2-33A9A9710DEC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UNIT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CC8564-C082-45D5-A12C-D27DF567A3FE}" name="TabSpecificationWork" displayName="TabSpecificationWork" ref="A1:AE10" totalsRowShown="0" headerRowDxfId="62" dataDxfId="61">
  <autoFilter ref="A1:AE10" xr:uid="{96CC8564-C082-45D5-A12C-D27DF567A3FE}"/>
  <tableColumns count="31">
    <tableColumn id="1" xr3:uid="{3C0F6EBF-BF3B-448E-A509-23E8475131F8}" name="№ п/п" dataDxfId="60" totalsRowDxfId="59"/>
    <tableColumn id="2" xr3:uid="{0C6B2CF3-C438-47F6-9831-06CE2EF8D1FF}" name="№ ИСХ" dataDxfId="58" totalsRowDxfId="57"/>
    <tableColumn id="3" xr3:uid="{C09A2F0B-AE19-48FF-9473-DC789B8D58F3}" name="№ КОМПЛЕКТА" dataDxfId="56" totalsRowDxfId="55"/>
    <tableColumn id="4" xr3:uid="{682D79C0-1893-4541-8C43-21F87938C3CC}" name="№ ПОРЯДКОВЫЙ В КОМПЛЕКТЕ" dataDxfId="54" totalsRowDxfId="53"/>
    <tableColumn id="5" xr3:uid="{E1B7B4DD-EF42-443B-B39B-BE62E29D0108}" name="№ ПОЛНЫЙ" dataDxfId="52">
      <calculatedColumnFormula>TabSpecificationWork[[#This Row],[№ КОМПЛЕКТА]] &amp; "." &amp; TabSpecificationWork[[#This Row],[№ ПОРЯДКОВЫЙ В КОМПЛЕКТЕ]]</calculatedColumnFormula>
    </tableColumn>
    <tableColumn id="6" xr3:uid="{45F7CE3F-449D-460C-A5B7-0AEE91924D25}" name="ОПИСАНИЕ КОМПЛЕКТА" dataDxfId="51" totalsRowDxfId="50"/>
    <tableColumn id="7" xr3:uid="{8F3C623E-E8A1-4A03-82DD-EDE16AF504FF}" name="НАИМЕНОВАНИЕ" dataDxfId="49" totalsRowDxfId="48"/>
    <tableColumn id="8" xr3:uid="{007F8717-0A07-48E0-A1EB-EAE6E572424A}" name="ОПИСАНИЕ/ХАРАКТЕРИСТИКИ" dataDxfId="47" totalsRowDxfId="46"/>
    <tableColumn id="9" xr3:uid="{8C0813ED-36A4-43E7-AAF6-F1FDA38367BC}" name="On-Off" dataDxfId="45" totalsRowDxfId="44"/>
    <tableColumn id="14" xr3:uid="{F1EF1C02-34FD-4F3C-BC9A-E1C518801019}" name="ПРИЗНАК ПОСТ ОБРАБОТКИ" dataDxfId="43" totalsRowDxfId="42">
      <calculatedColumnFormula>1</calculatedColumnFormula>
    </tableColumn>
    <tableColumn id="10" xr3:uid="{952E6978-CB3D-4347-AF28-0597AE730AA6}" name="БРЕНД" dataDxfId="41" totalsRowDxfId="40"/>
    <tableColumn id="11" xr3:uid="{8517C5C6-F784-4705-8190-245B5A55A021}" name="ПОСТАВЩИК" dataDxfId="39" totalsRowDxfId="38"/>
    <tableColumn id="12" xr3:uid="{355C2310-0BAB-4F45-849D-A3E72EDBF474}" name="АРТИКУЛ ПОСТАВЩИК" dataDxfId="37" totalsRowDxfId="36"/>
    <tableColumn id="13" xr3:uid="{DA2D9FEB-DBA5-4ABF-A4B3-FE69540B784B}" name="АРТИКУЛ МАС" dataDxfId="35" totalsRowDxfId="34"/>
    <tableColumn id="15" xr3:uid="{36B3F7BC-031D-4957-97DB-11542A696E35}" name="ЕД ИЗМ" dataDxfId="33" totalsRowDxfId="32"/>
    <tableColumn id="16" xr3:uid="{150CBF06-00C6-4806-8191-A4286EB093ED}" name="КОЛИЧЕСТВО В КОМПЛЕКТЕ" dataDxfId="31" totalsRowDxfId="30"/>
    <tableColumn id="17" xr3:uid="{13E5B512-5701-41EB-A201-0D252DB254A3}" name="КОМПЛЕКТОВ В ПОСТАВКЕ" dataDxfId="29" totalsRowDxfId="28"/>
    <tableColumn id="18" xr3:uid="{3720A801-BAAA-45D5-B24A-500112D1B996}" name="КОЛИЧЕСТВО ИТОГО" dataDxfId="27">
      <calculatedColumnFormula>TabSpecificationWork[[#This Row],[КОЛИЧЕСТВО В КОМПЛЕКТЕ]]*TabSpecificationWork[[#This Row],[КОМПЛЕКТОВ В ПОСТАВКЕ]]</calculatedColumnFormula>
    </tableColumn>
    <tableColumn id="19" xr3:uid="{715CE5CE-2BDF-46EA-B935-379C2289BCD3}" name="КОЛИЧЕСТВО У ПОСТАВ-КА" dataDxfId="26" totalsRowDxfId="25"/>
    <tableColumn id="20" xr3:uid="{32DA7A04-0981-4038-BB2D-6545CA3DBABE}" name="ЦЕНА ЗА ЕД. $ЗАКУП" dataDxfId="24" totalsRowDxfId="23" dataCellStyle="Финансовый"/>
    <tableColumn id="21" xr3:uid="{1FE1E287-5394-47DE-87AD-49C803C3C3E6}" name="СЕБЕСТОИМОСТЬ $ЗАКУП" dataDxfId="22">
      <calculatedColumnFormula>TabSpecificationWork[[#This Row],[КОЛИЧЕСТВО ИТОГО]]*TabSpecificationWork[[#This Row],[ЦЕНА ЗА ЕД. $ЗАКУП]]</calculatedColumnFormula>
    </tableColumn>
    <tableColumn id="22" xr3:uid="{969C7DD6-5245-459F-90AE-E3E60114A8A0}" name="КОЭФФ ПРОПОРЦИО-ТИ" dataDxfId="21" totalsRowDxfId="20"/>
    <tableColumn id="23" xr3:uid="{76646C46-B6CC-44DD-9090-8179808EA8D3}" name="КОЭФФИЦИЕНТ НАЦЕНКИ" dataDxfId="19" totalsRowDxfId="18"/>
    <tableColumn id="24" xr3:uid="{81B7606B-1F30-444A-93F5-5929D526AEAD}" name="ЦЕНА ЗА ЕД. $РЕАЛИЗАЦИЯ" dataDxfId="17">
      <calculatedColumnFormula>TabSpecificationWork[[#This Row],[ЦЕНА ЗА ЕД. $ЗАКУП]]*TabSpecificationWork[[#This Row],[КОЭФФ ПРОПОРЦИО-ТИ]]*TabSpecificationWork[[#This Row],[КОЭФФИЦИЕНТ НАЦЕНКИ]]</calculatedColumnFormula>
    </tableColumn>
    <tableColumn id="25" xr3:uid="{8FE6D3F9-0A66-456B-ABB8-B5BD18A8D852}" name="СТОИМОСТЬ $РЕАЛИЗАЦИЯ" dataDxfId="16">
      <calculatedColumnFormula>TabSpecificationWork[[#This Row],[КОЛИЧЕСТВО ИТОГО]]*TabSpecificationWork[[#This Row],[ЦЕНА ЗА ЕД. $РЕАЛИЗАЦИЯ]]</calculatedColumnFormula>
    </tableColumn>
    <tableColumn id="26" xr3:uid="{BAD42BB4-E47A-4099-BBB2-5920C2E27F1B}" name="ЦЕНА ЗА ЕД. $ИТОГ" dataDxfId="15">
      <calculatedColumnFormula>TabSpecificationWork[[#This Row],[ЦЕНА ЗА ЕД. $РЕАЛИЗАЦИЯ]]</calculatedColumnFormula>
    </tableColumn>
    <tableColumn id="27" xr3:uid="{840BF111-11DE-40E2-A09D-106A1A2A156F}" name="СТОИМОСТЬ $ИТОГ" dataDxfId="14">
      <calculatedColumnFormula>TabSpecificationWork[[#This Row],[СТОИМОСТЬ $РЕАЛИЗАЦИЯ]]</calculatedColumnFormula>
    </tableColumn>
    <tableColumn id="28" xr3:uid="{C45474BF-4ECB-4598-A723-8708B6A2C169}" name="ТРЕБОВАНИЯ ИСХОДНЫЕ" dataDxfId="13" totalsRowDxfId="12"/>
    <tableColumn id="29" xr3:uid="{687F4ACE-FABB-4583-93FE-53CAFC212834}" name="ПРИМЕЧАНИЕ" dataDxfId="11" totalsRowDxfId="10"/>
    <tableColumn id="30" xr3:uid="{F9F82BA5-7A50-4367-B992-5D940187C15F}" name="ССЫЛКА" dataDxfId="9" totalsRowDxfId="8"/>
    <tableColumn id="31" xr3:uid="{A23967F6-BEF1-4287-AAEA-EE4CBBA4C6E6}" name="ИЗОБРАЖЕНИЕ ТМЦ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Brand" displayName="TabBrand" ref="A1:B86" tableType="queryTable">
  <autoFilter ref="A1:B86" xr:uid="{00000000-0009-0000-0100-000004000000}"/>
  <tableColumns count="2">
    <tableColumn id="1" xr3:uid="{00000000-0010-0000-0300-000001000000}" uniqueName="1" name="ID" queryTableFieldId="1" dataDxfId="6"/>
    <tableColumn id="2" xr3:uid="{00000000-0010-0000-0300-000002000000}" uniqueName="2" name="BRAND" queryTableFieldId="2" dataDxfId="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1EBB6-4A38-42FE-89A7-BA0381F20161}" name="TabQuerySupplier" displayName="TabQuerySupplier" ref="A1:B47" tableType="queryTable" totalsRowShown="0">
  <autoFilter ref="A1:B47" xr:uid="{7CB1EBB6-4A38-42FE-89A7-BA0381F20161}"/>
  <tableColumns count="2">
    <tableColumn id="1" xr3:uid="{720BBFFB-1734-44B8-851A-08B4A51F2D82}" uniqueName="1" name="ID" queryTableFieldId="1"/>
    <tableColumn id="2" xr3:uid="{CECFCF3E-4E2C-4803-99A7-E890AC59E860}" uniqueName="2" name="COMPANY_LABEL" queryTableFieldId="2" dataDxfId="4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726E9-F6F9-4F9A-AFB9-E1537DD6FF9E}" name="TabQueryUnits" displayName="TabQueryUnits" ref="A1:B3" tableType="queryTable" totalsRowShown="0">
  <autoFilter ref="A1:B3" xr:uid="{156726E9-F6F9-4F9A-AFB9-E1537DD6FF9E}"/>
  <tableColumns count="2">
    <tableColumn id="1" xr3:uid="{799D8798-EDE7-452C-A9DD-A0AED0FC5244}" uniqueName="1" name="ID" queryTableFieldId="1"/>
    <tableColumn id="2" xr3:uid="{9F5CD4FA-93E1-4CFC-AD86-214180888531}" uniqueName="2" name="UNITS" queryTableFieldId="2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66463D-2A71-4697-80BD-94BD6D5B66CD}" name="TabСolumnDescriptions" displayName="TabСolumnDescriptions" ref="A1:C32" totalsRowShown="0" headerRowDxfId="2">
  <autoFilter ref="A1:C32" xr:uid="{5E66463D-2A71-4697-80BD-94BD6D5B66CD}"/>
  <tableColumns count="3">
    <tableColumn id="1" xr3:uid="{510F8E3D-F020-4D4F-A567-4B74838DEF10}" name="TABLE_NAME"/>
    <tableColumn id="2" xr3:uid="{E5472B71-72E4-4504-9F8C-1A7AF9B9615F}" name="СOLUMNS_NAME"/>
    <tableColumn id="3" xr3:uid="{678D956E-C846-4D9D-AFDE-1FA6BA20AE79}" name="СOLUMN_DESCRIPTIONS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235176-0965-4F9F-AC02-3994F42818CE}" name="TabConfigJSON" displayName="TabConfigJSON" ref="A1:D2" insertRow="1" totalsRowShown="0">
  <autoFilter ref="A1:D2" xr:uid="{3F235176-0965-4F9F-AC02-3994F42818CE}"/>
  <tableColumns count="4">
    <tableColumn id="1" xr3:uid="{C3467041-EBA6-4A85-AC88-5FD6E0A0B08A}" name="IDnum"/>
    <tableColumn id="2" xr3:uid="{3D7C788C-1AB5-4C2E-A560-2CC240C3CC20}" name="IDconfig"/>
    <tableColumn id="3" xr3:uid="{936783E4-6EB8-481B-AB5A-A06864D219C0}" name="CONFIG_JSON"/>
    <tableColumn id="4" xr3:uid="{24F3A94E-0BF3-42E0-AA6F-3BA452442BED}" name="COMME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8-08T08:56:55.55" personId="{D4DD7974-AC32-4871-BED9-1DDDE2DECF01}" id="{685E3499-96D5-4B47-8FE3-F52A8D96461C}">
    <text>Внес изменения в наценку, для сопоставления со стоимостью в спеке ЕВРАЗ</text>
  </threadedComment>
  <threadedComment ref="W4" dT="2025-08-08T08:57:04.32" personId="{D4DD7974-AC32-4871-BED9-1DDDE2DECF01}" id="{BB0BE1EA-D62B-48BB-99A1-9A3A3C13CA95}">
    <text>Внес изменения в наценку, для сопоставления со стоимостью в спеке ЕВРАЗ</text>
  </threadedComment>
  <threadedComment ref="W5" dT="2025-08-08T08:57:12.48" personId="{D4DD7974-AC32-4871-BED9-1DDDE2DECF01}" id="{56216CB9-46E1-4EC9-8DCA-72E60D605AFA}">
    <text>Внес изменения в наценку, для сопоставления со стоимостью в спеке ЕВРАЗ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8-18T09:05:32.10" personId="{71D6E47B-F36F-40F8-8AE2-326F63EFDDEE}" id="{ED9B6CA6-986E-4566-99F0-4027F85C7816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71D6E47B-F36F-40F8-8AE2-326F63EFDDEE}" id="{69DE0156-E821-4715-BC82-AA52F0A41E1D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71D6E47B-F36F-40F8-8AE2-326F63EFDDEE}" id="{3BB71004-7B0D-4943-B3BF-051721C28ACD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71D6E47B-F36F-40F8-8AE2-326F63EFDDEE}" id="{E8CFB1EB-CB4D-4B14-9A0A-84DA5403CA61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ssl.ru/products/432xt-b1a-sfp-modul/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www.onlinetrade.ru/catalogue/patch_kordy-c713/lanmaster/patch_kord_lanmaster_lszh_utp_kat.6_3.0_m_siniy_lan_pc45_u6_3.0_bl-2329960.html" TargetMode="External"/><Relationship Id="rId7" Type="http://schemas.openxmlformats.org/officeDocument/2006/relationships/hyperlink" Target="https://shop.nag.ru/catalog/01889.sfp-gbic-xfp-sfp-x2-xenpak-qsfp-cfp-moduli/02086.moduli-sfp/02132.snr-sfp-t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onlinetrade.ru/catalogue/vo_patch_kordy_odnomodovye-c6870/cabeus/opticheskiy_shnur_cabeus_fop_d_9_lc_lc_3m_duplex_lc_lc_9_125_sm_3m_lszh_fop_d_9_lc_lc_3m-3614958.html" TargetMode="External"/><Relationship Id="rId1" Type="http://schemas.openxmlformats.org/officeDocument/2006/relationships/hyperlink" Target="https://shop.nag.ru/catalog/07144.kross-opticheskij-stoechnyj-19/89815.kross-opticheskij-stoechnyj-19-1u/55059.nmf-rp48lcus2-ts-p1-1u-bk" TargetMode="External"/><Relationship Id="rId6" Type="http://schemas.openxmlformats.org/officeDocument/2006/relationships/hyperlink" Target="https://origo-networks.ru/products/1/16.html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onlinetrade.ru/catalogue/patch_kordy-c713/lanmaster/patch_kord_lanmaster_lszh_ftp_kat.6_3.0_m_krasnyy_lan_pc45_s6_3.0_rd-2329851.html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onlinetrade.ru/catalogue/patch_kordy-c713/lanmaster/patch_kord_lanmaster_lszh_ftp_kat.6_3.0_m_zheltyy_lan_pc45_s6_3.0_yl-2329849.html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CD1-948B-4828-924F-AA22AB83D7F9}">
  <dimension ref="A1:AE10"/>
  <sheetViews>
    <sheetView zoomScaleNormal="100" workbookViewId="0">
      <pane ySplit="1" topLeftCell="A7" activePane="bottomLeft" state="frozen"/>
      <selection activeCell="G1" sqref="G1"/>
      <selection pane="bottomLeft" activeCell="E1" sqref="E1"/>
    </sheetView>
  </sheetViews>
  <sheetFormatPr defaultRowHeight="15" outlineLevelCol="1" x14ac:dyDescent="0.25"/>
  <cols>
    <col min="1" max="1" width="6.42578125" customWidth="1"/>
    <col min="2" max="2" width="9" customWidth="1" outlineLevel="1"/>
    <col min="3" max="3" width="13.5703125" customWidth="1" outlineLevel="1"/>
    <col min="4" max="4" width="17" customWidth="1" outlineLevel="1"/>
    <col min="5" max="5" width="13.140625" customWidth="1" outlineLevel="1"/>
    <col min="6" max="6" width="19.5703125" customWidth="1" outlineLevel="1"/>
    <col min="7" max="7" width="36" customWidth="1"/>
    <col min="8" max="8" width="62.7109375" customWidth="1"/>
    <col min="9" max="9" width="9.42578125" bestFit="1" customWidth="1"/>
    <col min="10" max="10" width="13.28515625" customWidth="1" outlineLevel="1"/>
    <col min="11" max="11" width="14.42578125" customWidth="1" outlineLevel="1"/>
    <col min="12" max="12" width="20.28515625" customWidth="1" outlineLevel="1"/>
    <col min="13" max="13" width="17.85546875" customWidth="1" outlineLevel="1"/>
    <col min="14" max="14" width="13.7109375" customWidth="1" outlineLevel="1"/>
    <col min="15" max="15" width="10.42578125" bestFit="1" customWidth="1"/>
    <col min="16" max="16" width="15.7109375" customWidth="1" outlineLevel="1"/>
    <col min="17" max="17" width="16.7109375" customWidth="1" outlineLevel="1"/>
    <col min="18" max="18" width="14.28515625" customWidth="1"/>
    <col min="19" max="19" width="16.5703125" customWidth="1" outlineLevel="1"/>
    <col min="20" max="20" width="15.7109375" customWidth="1" outlineLevel="1"/>
    <col min="21" max="21" width="17.28515625" style="7" customWidth="1" outlineLevel="1"/>
    <col min="22" max="22" width="15" customWidth="1" outlineLevel="1"/>
    <col min="23" max="23" width="15.42578125" customWidth="1" outlineLevel="1"/>
    <col min="24" max="24" width="16.42578125" style="7" customWidth="1"/>
    <col min="25" max="25" width="17" style="7" customWidth="1"/>
    <col min="26" max="26" width="13.5703125" style="7" customWidth="1"/>
    <col min="27" max="27" width="17.140625" style="7" customWidth="1"/>
    <col min="28" max="28" width="21" customWidth="1" outlineLevel="1"/>
    <col min="29" max="29" width="54.7109375" customWidth="1" outlineLevel="1"/>
    <col min="30" max="30" width="39" customWidth="1" outlineLevel="1"/>
    <col min="31" max="31" width="47.42578125" customWidth="1"/>
  </cols>
  <sheetData>
    <row r="1" spans="1:31" ht="6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1" t="s">
        <v>20</v>
      </c>
      <c r="W1" s="1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78.75" customHeight="1" x14ac:dyDescent="0.25">
      <c r="A2" s="15">
        <v>11</v>
      </c>
      <c r="B2" s="16"/>
      <c r="C2" s="15">
        <v>4</v>
      </c>
      <c r="D2" s="15">
        <v>6</v>
      </c>
      <c r="E2" s="16" t="str">
        <f>TabSpecificationWork[[#This Row],[№ КОМПЛЕКТА]] &amp; "." &amp; TabSpecificationWork[[#This Row],[№ ПОРЯДКОВЫЙ В КОМПЛЕКТЕ]]</f>
        <v>4.6</v>
      </c>
      <c r="F2" s="5" t="s">
        <v>43</v>
      </c>
      <c r="G2" s="18" t="s">
        <v>191</v>
      </c>
      <c r="H2" s="18" t="s">
        <v>202</v>
      </c>
      <c r="I2" s="15" t="s">
        <v>30</v>
      </c>
      <c r="J2" s="37" t="s">
        <v>212</v>
      </c>
      <c r="K2" s="16" t="s">
        <v>168</v>
      </c>
      <c r="L2" s="19" t="s">
        <v>181</v>
      </c>
      <c r="M2" s="38" t="s">
        <v>48</v>
      </c>
      <c r="N2" s="20"/>
      <c r="O2" s="15" t="s">
        <v>34</v>
      </c>
      <c r="P2" s="15">
        <v>20</v>
      </c>
      <c r="Q2" s="15">
        <v>1</v>
      </c>
      <c r="R2" s="15">
        <f>TabSpecificationWork[[#This Row],[КОЛИЧЕСТВО В КОМПЛЕКТЕ]]*TabSpecificationWork[[#This Row],[КОМПЛЕКТОВ В ПОСТАВКЕ]]</f>
        <v>20</v>
      </c>
      <c r="S2" s="15">
        <v>25</v>
      </c>
      <c r="T2" s="21">
        <v>615</v>
      </c>
      <c r="U2" s="22">
        <f>TabSpecificationWork[[#This Row],[КОЛИЧЕСТВО ИТОГО]]*TabSpecificationWork[[#This Row],[ЦЕНА ЗА ЕД. $ЗАКУП]]</f>
        <v>12300</v>
      </c>
      <c r="V2" s="23">
        <v>1</v>
      </c>
      <c r="W2" s="31">
        <v>1.37</v>
      </c>
      <c r="X2" s="22">
        <f>TabSpecificationWork[[#This Row],[ЦЕНА ЗА ЕД. $ЗАКУП]]*TabSpecificationWork[[#This Row],[КОЭФФ ПРОПОРЦИО-ТИ]]*TabSpecificationWork[[#This Row],[КОЭФФИЦИЕНТ НАЦЕНКИ]]</f>
        <v>842.55000000000007</v>
      </c>
      <c r="Y2" s="22">
        <f>TabSpecificationWork[[#This Row],[КОЛИЧЕСТВО ИТОГО]]*TabSpecificationWork[[#This Row],[ЦЕНА ЗА ЕД. $РЕАЛИЗАЦИЯ]]</f>
        <v>16851</v>
      </c>
      <c r="Z2" s="22">
        <f>TabSpecificationWork[[#This Row],[ЦЕНА ЗА ЕД. $РЕАЛИЗАЦИЯ]]</f>
        <v>842.55000000000007</v>
      </c>
      <c r="AA2" s="22">
        <f>TabSpecificationWork[[#This Row],[СТОИМОСТЬ $РЕАЛИЗАЦИЯ]]</f>
        <v>16851</v>
      </c>
      <c r="AB2" s="24"/>
      <c r="AC2" s="17" t="s">
        <v>49</v>
      </c>
      <c r="AD2" s="27" t="s">
        <v>50</v>
      </c>
      <c r="AE2" s="25"/>
    </row>
    <row r="3" spans="1:31" ht="73.5" customHeight="1" x14ac:dyDescent="0.25">
      <c r="A3" s="15">
        <v>12</v>
      </c>
      <c r="B3" s="16"/>
      <c r="C3" s="15">
        <v>4</v>
      </c>
      <c r="D3" s="15">
        <v>7</v>
      </c>
      <c r="E3" s="16" t="str">
        <f>TabSpecificationWork[[#This Row],[№ КОМПЛЕКТА]] &amp; "." &amp; TabSpecificationWork[[#This Row],[№ ПОРЯДКОВЫЙ В КОМПЛЕКТЕ]]</f>
        <v>4.7</v>
      </c>
      <c r="F3" s="5" t="s">
        <v>43</v>
      </c>
      <c r="G3" s="18" t="s">
        <v>193</v>
      </c>
      <c r="H3" s="18" t="s">
        <v>196</v>
      </c>
      <c r="I3" s="15" t="s">
        <v>30</v>
      </c>
      <c r="J3" s="16" t="s">
        <v>211</v>
      </c>
      <c r="K3" s="16" t="s">
        <v>188</v>
      </c>
      <c r="L3" s="19" t="s">
        <v>181</v>
      </c>
      <c r="M3" s="38" t="s">
        <v>51</v>
      </c>
      <c r="N3" s="20"/>
      <c r="O3" s="15" t="s">
        <v>34</v>
      </c>
      <c r="P3" s="15">
        <v>4</v>
      </c>
      <c r="Q3" s="15">
        <v>1</v>
      </c>
      <c r="R3" s="15">
        <f>TabSpecificationWork[[#This Row],[КОЛИЧЕСТВО В КОМПЛЕКТЕ]]*TabSpecificationWork[[#This Row],[КОМПЛЕКТОВ В ПОСТАВКЕ]]</f>
        <v>4</v>
      </c>
      <c r="S3" s="15">
        <v>100</v>
      </c>
      <c r="T3" s="21">
        <v>649</v>
      </c>
      <c r="U3" s="22">
        <f>TabSpecificationWork[[#This Row],[КОЛИЧЕСТВО ИТОГО]]*TabSpecificationWork[[#This Row],[ЦЕНА ЗА ЕД. $ЗАКУП]]</f>
        <v>2596</v>
      </c>
      <c r="V3" s="23">
        <v>1</v>
      </c>
      <c r="W3" s="31">
        <v>1.37</v>
      </c>
      <c r="X3" s="22">
        <f>TabSpecificationWork[[#This Row],[ЦЕНА ЗА ЕД. $ЗАКУП]]*TabSpecificationWork[[#This Row],[КОЭФФ ПРОПОРЦИО-ТИ]]*TabSpecificationWork[[#This Row],[КОЭФФИЦИЕНТ НАЦЕНКИ]]</f>
        <v>889.13000000000011</v>
      </c>
      <c r="Y3" s="22">
        <f>TabSpecificationWork[[#This Row],[КОЛИЧЕСТВО ИТОГО]]*TabSpecificationWork[[#This Row],[ЦЕНА ЗА ЕД. $РЕАЛИЗАЦИЯ]]</f>
        <v>3556.5200000000004</v>
      </c>
      <c r="Z3" s="22">
        <f>TabSpecificationWork[[#This Row],[ЦЕНА ЗА ЕД. $РЕАЛИЗАЦИЯ]]</f>
        <v>889.13000000000011</v>
      </c>
      <c r="AA3" s="22">
        <f>TabSpecificationWork[[#This Row],[СТОИМОСТЬ $РЕАЛИЗАЦИЯ]]</f>
        <v>3556.5200000000004</v>
      </c>
      <c r="AB3" s="24"/>
      <c r="AC3" s="17" t="s">
        <v>52</v>
      </c>
      <c r="AD3" s="27" t="s">
        <v>53</v>
      </c>
      <c r="AE3" s="25"/>
    </row>
    <row r="4" spans="1:31" ht="78" customHeight="1" x14ac:dyDescent="0.25">
      <c r="A4" s="15">
        <v>13</v>
      </c>
      <c r="B4" s="16"/>
      <c r="C4" s="15">
        <v>4</v>
      </c>
      <c r="D4" s="15">
        <v>8</v>
      </c>
      <c r="E4" s="16" t="str">
        <f>TabSpecificationWork[[#This Row],[№ КОМПЛЕКТА]] &amp; "." &amp; TabSpecificationWork[[#This Row],[№ ПОРЯДКОВЫЙ В КОМПЛЕКТЕ]]</f>
        <v>4.8</v>
      </c>
      <c r="F4" s="5" t="s">
        <v>43</v>
      </c>
      <c r="G4" s="18" t="s">
        <v>194</v>
      </c>
      <c r="H4" s="18" t="s">
        <v>197</v>
      </c>
      <c r="I4" s="15" t="s">
        <v>30</v>
      </c>
      <c r="J4" s="16" t="s">
        <v>211</v>
      </c>
      <c r="K4" s="16" t="s">
        <v>188</v>
      </c>
      <c r="L4" s="19" t="s">
        <v>181</v>
      </c>
      <c r="M4" s="38" t="s">
        <v>54</v>
      </c>
      <c r="N4" s="20"/>
      <c r="O4" s="15" t="s">
        <v>34</v>
      </c>
      <c r="P4" s="15">
        <v>4</v>
      </c>
      <c r="Q4" s="15">
        <v>1</v>
      </c>
      <c r="R4" s="15">
        <f>TabSpecificationWork[[#This Row],[КОЛИЧЕСТВО В КОМПЛЕКТЕ]]*TabSpecificationWork[[#This Row],[КОМПЛЕКТОВ В ПОСТАВКЕ]]</f>
        <v>4</v>
      </c>
      <c r="S4" s="15">
        <v>5</v>
      </c>
      <c r="T4" s="21">
        <v>470</v>
      </c>
      <c r="U4" s="22">
        <f>TabSpecificationWork[[#This Row],[КОЛИЧЕСТВО ИТОГО]]*TabSpecificationWork[[#This Row],[ЦЕНА ЗА ЕД. $ЗАКУП]]</f>
        <v>1880</v>
      </c>
      <c r="V4" s="23">
        <v>1</v>
      </c>
      <c r="W4" s="31">
        <v>1.37</v>
      </c>
      <c r="X4" s="26">
        <f>TabSpecificationWork[[#This Row],[ЦЕНА ЗА ЕД. $ЗАКУП]]*TabSpecificationWork[[#This Row],[КОЭФФ ПРОПОРЦИО-ТИ]]*TabSpecificationWork[[#This Row],[КОЭФФИЦИЕНТ НАЦЕНКИ]]</f>
        <v>643.90000000000009</v>
      </c>
      <c r="Y4" s="22">
        <f>TabSpecificationWork[[#This Row],[КОЛИЧЕСТВО ИТОГО]]*TabSpecificationWork[[#This Row],[ЦЕНА ЗА ЕД. $РЕАЛИЗАЦИЯ]]</f>
        <v>2575.6000000000004</v>
      </c>
      <c r="Z4" s="22">
        <f>TabSpecificationWork[[#This Row],[ЦЕНА ЗА ЕД. $РЕАЛИЗАЦИЯ]]</f>
        <v>643.90000000000009</v>
      </c>
      <c r="AA4" s="22">
        <f>TabSpecificationWork[[#This Row],[СТОИМОСТЬ $РЕАЛИЗАЦИЯ]]</f>
        <v>2575.6000000000004</v>
      </c>
      <c r="AB4" s="24"/>
      <c r="AC4" s="17" t="s">
        <v>52</v>
      </c>
      <c r="AD4" s="27" t="s">
        <v>55</v>
      </c>
      <c r="AE4" s="25"/>
    </row>
    <row r="5" spans="1:31" ht="77.25" customHeight="1" x14ac:dyDescent="0.25">
      <c r="A5" s="15">
        <v>14</v>
      </c>
      <c r="B5" s="16"/>
      <c r="C5" s="15">
        <v>4</v>
      </c>
      <c r="D5" s="15">
        <v>9</v>
      </c>
      <c r="E5" s="16" t="str">
        <f>TabSpecificationWork[[#This Row],[№ КОМПЛЕКТА]] &amp; "." &amp; TabSpecificationWork[[#This Row],[№ ПОРЯДКОВЫЙ В КОМПЛЕКТЕ]]</f>
        <v>4.9</v>
      </c>
      <c r="F5" s="5" t="s">
        <v>43</v>
      </c>
      <c r="G5" s="18" t="s">
        <v>195</v>
      </c>
      <c r="H5" s="18" t="s">
        <v>198</v>
      </c>
      <c r="I5" s="15" t="s">
        <v>30</v>
      </c>
      <c r="J5" s="16" t="s">
        <v>211</v>
      </c>
      <c r="K5" s="16" t="s">
        <v>188</v>
      </c>
      <c r="L5" s="19" t="s">
        <v>181</v>
      </c>
      <c r="M5" s="38" t="s">
        <v>56</v>
      </c>
      <c r="N5" s="20"/>
      <c r="O5" s="15" t="s">
        <v>34</v>
      </c>
      <c r="P5" s="15">
        <v>4</v>
      </c>
      <c r="Q5" s="15">
        <v>1</v>
      </c>
      <c r="R5" s="15">
        <f>TabSpecificationWork[[#This Row],[КОЛИЧЕСТВО В КОМПЛЕКТЕ]]*TabSpecificationWork[[#This Row],[КОМПЛЕКТОВ В ПОСТАВКЕ]]</f>
        <v>4</v>
      </c>
      <c r="S5" s="15">
        <v>10</v>
      </c>
      <c r="T5" s="21">
        <v>425</v>
      </c>
      <c r="U5" s="22">
        <f>TabSpecificationWork[[#This Row],[КОЛИЧЕСТВО ИТОГО]]*TabSpecificationWork[[#This Row],[ЦЕНА ЗА ЕД. $ЗАКУП]]</f>
        <v>1700</v>
      </c>
      <c r="V5" s="23">
        <v>1</v>
      </c>
      <c r="W5" s="31">
        <v>1.37</v>
      </c>
      <c r="X5" s="26">
        <f>TabSpecificationWork[[#This Row],[ЦЕНА ЗА ЕД. $ЗАКУП]]*TabSpecificationWork[[#This Row],[КОЭФФ ПРОПОРЦИО-ТИ]]*TabSpecificationWork[[#This Row],[КОЭФФИЦИЕНТ НАЦЕНКИ]]</f>
        <v>582.25</v>
      </c>
      <c r="Y5" s="22">
        <f>TabSpecificationWork[[#This Row],[КОЛИЧЕСТВО ИТОГО]]*TabSpecificationWork[[#This Row],[ЦЕНА ЗА ЕД. $РЕАЛИЗАЦИЯ]]</f>
        <v>2329</v>
      </c>
      <c r="Z5" s="22">
        <f>TabSpecificationWork[[#This Row],[ЦЕНА ЗА ЕД. $РЕАЛИЗАЦИЯ]]</f>
        <v>582.25</v>
      </c>
      <c r="AA5" s="22">
        <f>TabSpecificationWork[[#This Row],[СТОИМОСТЬ $РЕАЛИЗАЦИЯ]]</f>
        <v>2329</v>
      </c>
      <c r="AB5" s="24"/>
      <c r="AC5" s="17" t="s">
        <v>52</v>
      </c>
      <c r="AD5" s="27" t="s">
        <v>57</v>
      </c>
      <c r="AE5" s="25"/>
    </row>
    <row r="6" spans="1:31" ht="76.5" customHeight="1" x14ac:dyDescent="0.25">
      <c r="A6" s="15">
        <v>15</v>
      </c>
      <c r="B6" s="16"/>
      <c r="C6" s="15">
        <v>4</v>
      </c>
      <c r="D6" s="15">
        <v>10</v>
      </c>
      <c r="E6" s="16" t="str">
        <f>TabSpecificationWork[[#This Row],[№ КОМПЛЕКТА]] &amp; "." &amp; TabSpecificationWork[[#This Row],[№ ПОРЯДКОВЫЙ В КОМПЛЕКТЕ]]</f>
        <v>4.10</v>
      </c>
      <c r="F6" s="5" t="s">
        <v>43</v>
      </c>
      <c r="G6" s="33" t="s">
        <v>200</v>
      </c>
      <c r="H6" s="41" t="s">
        <v>201</v>
      </c>
      <c r="I6" s="15" t="s">
        <v>30</v>
      </c>
      <c r="J6" s="16" t="s">
        <v>211</v>
      </c>
      <c r="K6" s="16" t="s">
        <v>190</v>
      </c>
      <c r="L6" s="19" t="s">
        <v>41</v>
      </c>
      <c r="M6" s="38" t="s">
        <v>58</v>
      </c>
      <c r="N6" s="20"/>
      <c r="O6" s="15" t="s">
        <v>34</v>
      </c>
      <c r="P6" s="15">
        <v>1</v>
      </c>
      <c r="Q6" s="15">
        <v>1</v>
      </c>
      <c r="R6" s="15">
        <f>TabSpecificationWork[[#This Row],[КОЛИЧЕСТВО В КОМПЛЕКТЕ]]*TabSpecificationWork[[#This Row],[КОМПЛЕКТОВ В ПОСТАВКЕ]]</f>
        <v>1</v>
      </c>
      <c r="S6" s="15"/>
      <c r="T6" s="21">
        <v>16050</v>
      </c>
      <c r="U6" s="22">
        <f>TabSpecificationWork[[#This Row],[КОЛИЧЕСТВО ИТОГО]]*TabSpecificationWork[[#This Row],[ЦЕНА ЗА ЕД. $ЗАКУП]]</f>
        <v>16050</v>
      </c>
      <c r="V6" s="23">
        <v>1</v>
      </c>
      <c r="W6" s="31">
        <v>2.7</v>
      </c>
      <c r="X6" s="22">
        <f>TabSpecificationWork[[#This Row],[ЦЕНА ЗА ЕД. $ЗАКУП]]*TabSpecificationWork[[#This Row],[КОЭФФ ПРОПОРЦИО-ТИ]]*TabSpecificationWork[[#This Row],[КОЭФФИЦИЕНТ НАЦЕНКИ]]</f>
        <v>43335</v>
      </c>
      <c r="Y6" s="22">
        <f>TabSpecificationWork[[#This Row],[КОЛИЧЕСТВО ИТОГО]]*TabSpecificationWork[[#This Row],[ЦЕНА ЗА ЕД. $РЕАЛИЗАЦИЯ]]</f>
        <v>43335</v>
      </c>
      <c r="Z6" s="22">
        <f>TabSpecificationWork[[#This Row],[ЦЕНА ЗА ЕД. $РЕАЛИЗАЦИЯ]]</f>
        <v>43335</v>
      </c>
      <c r="AA6" s="22">
        <f>TabSpecificationWork[[#This Row],[СТОИМОСТЬ $РЕАЛИЗАЦИЯ]]</f>
        <v>43335</v>
      </c>
      <c r="AB6" s="24"/>
      <c r="AC6" s="17" t="s">
        <v>173</v>
      </c>
      <c r="AD6" s="27" t="s">
        <v>59</v>
      </c>
      <c r="AE6" s="25"/>
    </row>
    <row r="7" spans="1:31" ht="90.75" customHeight="1" x14ac:dyDescent="0.25">
      <c r="A7" s="15">
        <v>16</v>
      </c>
      <c r="B7" s="3">
        <v>0</v>
      </c>
      <c r="C7" s="3">
        <v>5</v>
      </c>
      <c r="D7" s="3">
        <v>1</v>
      </c>
      <c r="E7" s="4" t="str">
        <f>TabSpecificationWork[[#This Row],[№ КОМПЛЕКТА]] &amp; "." &amp; TabSpecificationWork[[#This Row],[№ ПОРЯДКОВЫЙ В КОМПЛЕКТЕ]]</f>
        <v>5.1</v>
      </c>
      <c r="F7" s="30" t="s">
        <v>43</v>
      </c>
      <c r="G7" s="42" t="s">
        <v>45</v>
      </c>
      <c r="H7" s="42" t="s">
        <v>216</v>
      </c>
      <c r="I7" s="3" t="s">
        <v>30</v>
      </c>
      <c r="J7" s="16" t="s">
        <v>211</v>
      </c>
      <c r="K7" s="4" t="s">
        <v>44</v>
      </c>
      <c r="L7" s="4" t="s">
        <v>41</v>
      </c>
      <c r="M7" s="39" t="s">
        <v>46</v>
      </c>
      <c r="N7" s="13"/>
      <c r="O7" s="3" t="s">
        <v>34</v>
      </c>
      <c r="P7" s="3">
        <v>4</v>
      </c>
      <c r="Q7" s="3">
        <v>1</v>
      </c>
      <c r="R7" s="3">
        <v>4</v>
      </c>
      <c r="S7" s="3">
        <v>1000</v>
      </c>
      <c r="T7" s="14">
        <v>2450</v>
      </c>
      <c r="U7" s="8">
        <f>TabSpecificationWork[[#This Row],[КОЛИЧЕСТВО ИТОГО]]*TabSpecificationWork[[#This Row],[ЦЕНА ЗА ЕД. $ЗАКУП]]</f>
        <v>9800</v>
      </c>
      <c r="V7" s="9">
        <v>1</v>
      </c>
      <c r="W7" s="31">
        <v>2.7</v>
      </c>
      <c r="X7" s="8">
        <f>TabSpecificationWork[[#This Row],[ЦЕНА ЗА ЕД. $ЗАКУП]]*TabSpecificationWork[[#This Row],[КОЭФФ ПРОПОРЦИО-ТИ]]*TabSpecificationWork[[#This Row],[КОЭФФИЦИЕНТ НАЦЕНКИ]]</f>
        <v>6615</v>
      </c>
      <c r="Y7" s="8">
        <f>TabSpecificationWork[[#This Row],[КОЛИЧЕСТВО ИТОГО]]*TabSpecificationWork[[#This Row],[ЦЕНА ЗА ЕД. $РЕАЛИЗАЦИЯ]]</f>
        <v>26460</v>
      </c>
      <c r="Z7" s="8">
        <f>TabSpecificationWork[[#This Row],[ЦЕНА ЗА ЕД. $РЕАЛИЗАЦИЯ]]</f>
        <v>6615</v>
      </c>
      <c r="AA7" s="8">
        <f>TabSpecificationWork[[#This Row],[СТОИМОСТЬ $РЕАЛИЗАЦИЯ]]</f>
        <v>26460</v>
      </c>
      <c r="AB7" s="10"/>
      <c r="AC7" s="28" t="s">
        <v>167</v>
      </c>
      <c r="AD7" s="12" t="s">
        <v>47</v>
      </c>
      <c r="AE7" s="11"/>
    </row>
    <row r="8" spans="1:31" ht="210" x14ac:dyDescent="0.25">
      <c r="A8" s="15">
        <v>17</v>
      </c>
      <c r="B8" s="16"/>
      <c r="C8" s="15">
        <v>5</v>
      </c>
      <c r="D8" s="15">
        <v>2</v>
      </c>
      <c r="E8" s="16" t="str">
        <f>TabSpecificationWork[[#This Row],[№ КОМПЛЕКТА]] &amp; "." &amp; TabSpecificationWork[[#This Row],[№ ПОРЯДКОВЫЙ В КОМПЛЕКТЕ]]</f>
        <v>5.2</v>
      </c>
      <c r="F8" s="30" t="s">
        <v>43</v>
      </c>
      <c r="G8" s="18" t="s">
        <v>214</v>
      </c>
      <c r="H8" s="18" t="s">
        <v>215</v>
      </c>
      <c r="I8" s="15" t="s">
        <v>30</v>
      </c>
      <c r="J8" s="16" t="s">
        <v>211</v>
      </c>
      <c r="K8" s="16" t="s">
        <v>169</v>
      </c>
      <c r="L8" s="19" t="s">
        <v>185</v>
      </c>
      <c r="M8" s="38" t="s">
        <v>170</v>
      </c>
      <c r="N8" s="20"/>
      <c r="O8" s="15" t="s">
        <v>34</v>
      </c>
      <c r="P8" s="15">
        <v>1</v>
      </c>
      <c r="Q8" s="15">
        <v>1</v>
      </c>
      <c r="R8" s="15">
        <f>TabSpecificationWork[[#This Row],[КОЛИЧЕСТВО В КОМПЛЕКТЕ]]*TabSpecificationWork[[#This Row],[КОМПЛЕКТОВ В ПОСТАВКЕ]]</f>
        <v>1</v>
      </c>
      <c r="S8" s="15">
        <v>5</v>
      </c>
      <c r="T8" s="21">
        <v>57903</v>
      </c>
      <c r="U8" s="22">
        <f>TabSpecificationWork[[#This Row],[КОЛИЧЕСТВО ИТОГО]]*TabSpecificationWork[[#This Row],[ЦЕНА ЗА ЕД. $ЗАКУП]]</f>
        <v>57903</v>
      </c>
      <c r="V8" s="23">
        <v>1</v>
      </c>
      <c r="W8" s="31">
        <v>2.7</v>
      </c>
      <c r="X8" s="26">
        <f>TabSpecificationWork[[#This Row],[ЦЕНА ЗА ЕД. $ЗАКУП]]*TabSpecificationWork[[#This Row],[КОЭФФ ПРОПОРЦИО-ТИ]]*TabSpecificationWork[[#This Row],[КОЭФФИЦИЕНТ НАЦЕНКИ]]</f>
        <v>156338.1</v>
      </c>
      <c r="Y8" s="22">
        <f>TabSpecificationWork[[#This Row],[КОЛИЧЕСТВО ИТОГО]]*TabSpecificationWork[[#This Row],[ЦЕНА ЗА ЕД. $РЕАЛИЗАЦИЯ]]</f>
        <v>156338.1</v>
      </c>
      <c r="Z8" s="22">
        <f>TabSpecificationWork[[#This Row],[ЦЕНА ЗА ЕД. $РЕАЛИЗАЦИЯ]]</f>
        <v>156338.1</v>
      </c>
      <c r="AA8" s="22">
        <f>TabSpecificationWork[[#This Row],[СТОИМОСТЬ $РЕАЛИЗАЦИЯ]]</f>
        <v>156338.1</v>
      </c>
      <c r="AB8" s="24"/>
      <c r="AC8" s="17" t="s">
        <v>174</v>
      </c>
      <c r="AD8" s="27" t="s">
        <v>171</v>
      </c>
      <c r="AE8" s="25"/>
    </row>
    <row r="9" spans="1:31" ht="269.25" customHeight="1" x14ac:dyDescent="0.25">
      <c r="A9" s="15">
        <v>18</v>
      </c>
      <c r="B9" s="16"/>
      <c r="C9" s="15">
        <v>5</v>
      </c>
      <c r="D9" s="15">
        <v>3</v>
      </c>
      <c r="E9" s="16" t="str">
        <f>TabSpecificationWork[[#This Row],[№ КОМПЛЕКТА]] &amp; "." &amp; TabSpecificationWork[[#This Row],[№ ПОРЯДКОВЫЙ В КОМПЛЕКТЕ]]</f>
        <v>5.3</v>
      </c>
      <c r="F9" s="30" t="s">
        <v>35</v>
      </c>
      <c r="G9" s="33" t="s">
        <v>192</v>
      </c>
      <c r="H9" s="33" t="s">
        <v>199</v>
      </c>
      <c r="I9" s="15" t="s">
        <v>30</v>
      </c>
      <c r="J9" s="37" t="s">
        <v>211</v>
      </c>
      <c r="K9" s="16" t="s">
        <v>36</v>
      </c>
      <c r="L9" s="19" t="s">
        <v>37</v>
      </c>
      <c r="M9" s="38" t="s">
        <v>38</v>
      </c>
      <c r="N9" s="20"/>
      <c r="O9" s="15" t="s">
        <v>34</v>
      </c>
      <c r="P9" s="15">
        <v>1</v>
      </c>
      <c r="Q9" s="15">
        <v>1</v>
      </c>
      <c r="R9" s="15">
        <f>TabSpecificationWork[[#This Row],[КОЛИЧЕСТВО В КОМПЛЕКТЕ]]*TabSpecificationWork[[#This Row],[КОМПЛЕКТОВ В ПОСТАВКЕ]]</f>
        <v>1</v>
      </c>
      <c r="S9" s="15">
        <v>5</v>
      </c>
      <c r="T9" s="21">
        <v>16000</v>
      </c>
      <c r="U9" s="22">
        <f>TabSpecificationWork[[#This Row],[КОЛИЧЕСТВО ИТОГО]]*TabSpecificationWork[[#This Row],[ЦЕНА ЗА ЕД. $ЗАКУП]]</f>
        <v>16000</v>
      </c>
      <c r="V9" s="23">
        <v>1</v>
      </c>
      <c r="W9" s="31">
        <v>3.77</v>
      </c>
      <c r="X9" s="26">
        <f>TabSpecificationWork[[#This Row],[ЦЕНА ЗА ЕД. $ЗАКУП]]*TabSpecificationWork[[#This Row],[КОЭФФ ПРОПОРЦИО-ТИ]]*TabSpecificationWork[[#This Row],[КОЭФФИЦИЕНТ НАЦЕНКИ]]</f>
        <v>60320</v>
      </c>
      <c r="Y9" s="22">
        <f>TabSpecificationWork[[#This Row],[КОЛИЧЕСТВО ИТОГО]]*TabSpecificationWork[[#This Row],[ЦЕНА ЗА ЕД. $РЕАЛИЗАЦИЯ]]</f>
        <v>60320</v>
      </c>
      <c r="Z9" s="22">
        <f>TabSpecificationWork[[#This Row],[ЦЕНА ЗА ЕД. $РЕАЛИЗАЦИЯ]]</f>
        <v>60320</v>
      </c>
      <c r="AA9" s="22">
        <f>TabSpecificationWork[[#This Row],[СТОИМОСТЬ $РЕАЛИЗАЦИЯ]]</f>
        <v>60320</v>
      </c>
      <c r="AB9" s="24"/>
      <c r="AC9" s="17" t="s">
        <v>172</v>
      </c>
      <c r="AD9" s="27" t="s">
        <v>39</v>
      </c>
      <c r="AE9" s="25"/>
    </row>
    <row r="10" spans="1:31" ht="195" x14ac:dyDescent="0.25">
      <c r="A10" s="15">
        <v>19</v>
      </c>
      <c r="B10" s="16"/>
      <c r="C10" s="15">
        <v>4</v>
      </c>
      <c r="D10" s="15">
        <v>4</v>
      </c>
      <c r="E10" s="16" t="str">
        <f>TabSpecificationWork[[#This Row],[№ КОМПЛЕКТА]] &amp; "." &amp; TabSpecificationWork[[#This Row],[№ ПОРЯДКОВЫЙ В КОМПЛЕКТЕ]]</f>
        <v>4.4</v>
      </c>
      <c r="F10" s="17" t="s">
        <v>35</v>
      </c>
      <c r="G10" s="18" t="s">
        <v>182</v>
      </c>
      <c r="H10" s="18" t="s">
        <v>183</v>
      </c>
      <c r="I10" s="15" t="s">
        <v>30</v>
      </c>
      <c r="J10" s="16" t="s">
        <v>213</v>
      </c>
      <c r="K10" s="16" t="s">
        <v>178</v>
      </c>
      <c r="L10" s="19" t="s">
        <v>186</v>
      </c>
      <c r="M10" s="40" t="s">
        <v>189</v>
      </c>
      <c r="N10" s="20"/>
      <c r="O10" s="15" t="s">
        <v>34</v>
      </c>
      <c r="P10" s="15">
        <v>8</v>
      </c>
      <c r="Q10" s="15">
        <v>1</v>
      </c>
      <c r="R10" s="15">
        <f>TabSpecificationWork[[#This Row],[КОЛИЧЕСТВО В КОМПЛЕКТЕ]]*TabSpecificationWork[[#This Row],[КОМПЛЕКТОВ В ПОСТАВКЕ]]</f>
        <v>8</v>
      </c>
      <c r="S10" s="15">
        <v>5</v>
      </c>
      <c r="T10" s="21">
        <v>3760</v>
      </c>
      <c r="U10" s="22">
        <f>TabSpecificationWork[[#This Row],[КОЛИЧЕСТВО ИТОГО]]*TabSpecificationWork[[#This Row],[ЦЕНА ЗА ЕД. $ЗАКУП]]</f>
        <v>30080</v>
      </c>
      <c r="V10" s="23">
        <v>1</v>
      </c>
      <c r="W10" s="32">
        <v>2.7</v>
      </c>
      <c r="X10" s="22">
        <f>TabSpecificationWork[[#This Row],[ЦЕНА ЗА ЕД. $ЗАКУП]]*TabSpecificationWork[[#This Row],[КОЭФФ ПРОПОРЦИО-ТИ]]*TabSpecificationWork[[#This Row],[КОЭФФИЦИЕНТ НАЦЕНКИ]]</f>
        <v>10152</v>
      </c>
      <c r="Y10" s="22">
        <f>TabSpecificationWork[[#This Row],[КОЛИЧЕСТВО ИТОГО]]*TabSpecificationWork[[#This Row],[ЦЕНА ЗА ЕД. $РЕАЛИЗАЦИЯ]]</f>
        <v>81216</v>
      </c>
      <c r="Z10" s="22">
        <f>TabSpecificationWork[[#This Row],[ЦЕНА ЗА ЕД. $РЕАЛИЗАЦИЯ]]</f>
        <v>10152</v>
      </c>
      <c r="AA10" s="22">
        <f>TabSpecificationWork[[#This Row],[СТОИМОСТЬ $РЕАЛИЗАЦИЯ]]</f>
        <v>81216</v>
      </c>
      <c r="AB10" s="24"/>
      <c r="AC10" s="17"/>
      <c r="AD10" s="27" t="s">
        <v>184</v>
      </c>
      <c r="AE10" s="25"/>
    </row>
  </sheetData>
  <phoneticPr fontId="9" type="noConversion"/>
  <conditionalFormatting sqref="J2:J10">
    <cfRule type="expression" dxfId="1" priority="1">
      <formula>IF($J2="delete",1,0)</formula>
    </cfRule>
    <cfRule type="expression" dxfId="0" priority="2">
      <formula>IF($J2="modify",1,0)</formula>
    </cfRule>
  </conditionalFormatting>
  <dataValidations count="16">
    <dataValidation operator="greaterThan" showInputMessage="1" showErrorMessage="1" sqref="AE2:AE10" xr:uid="{F659E4D5-3F3D-4AF4-9342-738D3445D024}"/>
    <dataValidation type="textLength" operator="greaterThan" showInputMessage="1" showErrorMessage="1" sqref="AD2:AD10" xr:uid="{B546A556-9C55-46EE-9FC6-F38C5C5C7E41}">
      <formula1>5</formula1>
    </dataValidation>
    <dataValidation type="decimal" operator="greaterThanOrEqual" showInputMessage="1" showErrorMessage="1" sqref="T2:AA10" xr:uid="{B941C71D-8137-47DD-A56A-7073A17BE7E2}">
      <formula1>1</formula1>
    </dataValidation>
    <dataValidation type="list" allowBlank="1" showInputMessage="1" showErrorMessage="1" sqref="O2:O10" xr:uid="{9D8CC6B9-FC9A-4D55-981E-0622F2D5B657}">
      <formula1>INDIRECT("TabQueryUnits[UNITS]")</formula1>
    </dataValidation>
    <dataValidation type="list" allowBlank="1" showInputMessage="1" showErrorMessage="1" sqref="K2:K10" xr:uid="{A112FBB5-A857-422C-BD07-D421B35D2DE1}">
      <formula1>INDIRECT("TabBrand[BRAND]")</formula1>
    </dataValidation>
    <dataValidation type="list" allowBlank="1" showInputMessage="1" showErrorMessage="1" sqref="L2:L10" xr:uid="{02900867-3AEC-4E3C-9BDF-006AEAB83070}">
      <formula1>INDIRECT("TabQuerySupplier[COMPANY_LABEL]")</formula1>
    </dataValidation>
    <dataValidation type="list" allowBlank="1" showInputMessage="1" showErrorMessage="1" sqref="I2:I10" xr:uid="{839E9200-27EE-44BD-9AFD-5E35CF6FD3B3}">
      <formula1>"on,off"</formula1>
    </dataValidation>
    <dataValidation type="whole" operator="greaterThan" showInputMessage="1" showErrorMessage="1" sqref="C2:D10 S2:S10 A2:A10" xr:uid="{84307A19-AC2D-48F5-80E9-21A9BAF1F88E}">
      <formula1>0</formula1>
    </dataValidation>
    <dataValidation type="textLength" operator="equal" showInputMessage="1" showErrorMessage="1" sqref="N2:N10" xr:uid="{53BE1A5A-60B8-40AF-B173-41E979D43C2D}">
      <formula1>20</formula1>
    </dataValidation>
    <dataValidation type="whole" operator="greaterThanOrEqual" showInputMessage="1" showErrorMessage="1" sqref="B2:B10" xr:uid="{559BB565-4C8D-4DE1-A9AC-3450057B1DA6}">
      <formula1>0</formula1>
    </dataValidation>
    <dataValidation type="textLength" operator="greaterThan" showInputMessage="1" showErrorMessage="1" sqref="E2:E10" xr:uid="{733DB96D-AE80-4F28-BA05-D366B59EB134}">
      <formula1>2</formula1>
    </dataValidation>
    <dataValidation type="textLength" showInputMessage="1" showErrorMessage="1" sqref="F2:G10" xr:uid="{B38466C4-E261-499B-A5FF-2381B7724A73}">
      <formula1>5</formula1>
      <formula2>150</formula2>
    </dataValidation>
    <dataValidation type="textLength" showInputMessage="1" showErrorMessage="1" sqref="H2:H10" xr:uid="{7F1F8AB2-B9EA-493A-BDA5-C9A84FB0DC43}">
      <formula1>5</formula1>
      <formula2>1500</formula2>
    </dataValidation>
    <dataValidation type="whole" operator="greaterThanOrEqual" showInputMessage="1" showErrorMessage="1" sqref="P2:R10" xr:uid="{7D192C3D-0932-4696-AB2B-670105C39754}">
      <formula1>1</formula1>
    </dataValidation>
    <dataValidation type="list" showInputMessage="1" showErrorMessage="1" sqref="J2:J10" xr:uid="{ACE5DBB3-F043-4B4D-B97D-B723839C0EE6}">
      <formula1>"none,modify,delete,"</formula1>
    </dataValidation>
    <dataValidation type="list" operator="greaterThanOrEqual" showInputMessage="1" showErrorMessage="1" sqref="J2:J10" xr:uid="{602A4244-1C25-4E81-B049-286068E3B622}">
      <formula1>"none,modify,delete"</formula1>
    </dataValidation>
  </dataValidations>
  <hyperlinks>
    <hyperlink ref="AD6" r:id="rId1" location="description" xr:uid="{F1AC25BA-FDB6-4D1A-B089-5119882FFC46}"/>
    <hyperlink ref="AD2" r:id="rId2" xr:uid="{C7A0AD12-94CA-47D2-857A-F6E61E8D34EA}"/>
    <hyperlink ref="AD5" r:id="rId3" xr:uid="{951FE574-03A0-4018-85C3-911A7DB38772}"/>
    <hyperlink ref="AD4" r:id="rId4" xr:uid="{76D7FCAD-6C75-4452-A3EA-AA54A564D787}"/>
    <hyperlink ref="AD3" r:id="rId5" xr:uid="{4E1AE608-C360-42DF-B994-06F7D42A8D21}"/>
    <hyperlink ref="AD9" r:id="rId6" xr:uid="{586634B7-9CA6-4C7C-9546-808E91BDB16B}"/>
    <hyperlink ref="AD7" r:id="rId7" xr:uid="{96EB3581-0338-4867-811F-A3F427611454}"/>
    <hyperlink ref="AD10" r:id="rId8" xr:uid="{54D5B5CF-5AF9-4F97-8988-6AD89798BB43}"/>
  </hyperlinks>
  <pageMargins left="0.7" right="0.7" top="0.75" bottom="0.75" header="0.3" footer="0.3"/>
  <pageSetup paperSize="9" orientation="portrait" r:id="rId9"/>
  <ignoredErrors>
    <ignoredError sqref="J2:J10" calculatedColumn="1"/>
  </ignoredErrors>
  <legacyDrawing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6"/>
  <sheetViews>
    <sheetView workbookViewId="0">
      <selection sqref="A1:B86"/>
    </sheetView>
  </sheetViews>
  <sheetFormatPr defaultRowHeight="15" x14ac:dyDescent="0.25"/>
  <cols>
    <col min="1" max="1" width="7.42578125" bestFit="1" customWidth="1"/>
    <col min="2" max="2" width="22.7109375" bestFit="1" customWidth="1"/>
    <col min="3" max="3" width="11" customWidth="1"/>
    <col min="4" max="4" width="9.42578125" customWidth="1"/>
    <col min="5" max="5" width="7.85546875" customWidth="1"/>
    <col min="6" max="6" width="21.7109375" customWidth="1"/>
    <col min="7" max="7" width="14.5703125" customWidth="1"/>
  </cols>
  <sheetData>
    <row r="1" spans="1:2" x14ac:dyDescent="0.25">
      <c r="A1" s="2" t="s">
        <v>60</v>
      </c>
      <c r="B1" t="s">
        <v>61</v>
      </c>
    </row>
    <row r="2" spans="1:2" x14ac:dyDescent="0.25">
      <c r="A2" s="2">
        <v>0</v>
      </c>
      <c r="B2" s="29" t="s">
        <v>33</v>
      </c>
    </row>
    <row r="3" spans="1:2" x14ac:dyDescent="0.25">
      <c r="A3" s="2">
        <v>201</v>
      </c>
      <c r="B3" s="29" t="s">
        <v>64</v>
      </c>
    </row>
    <row r="4" spans="1:2" x14ac:dyDescent="0.25">
      <c r="A4" s="2">
        <v>202</v>
      </c>
      <c r="B4" s="29" t="s">
        <v>67</v>
      </c>
    </row>
    <row r="5" spans="1:2" x14ac:dyDescent="0.25">
      <c r="A5" s="2">
        <v>203</v>
      </c>
      <c r="B5" s="29" t="s">
        <v>69</v>
      </c>
    </row>
    <row r="6" spans="1:2" x14ac:dyDescent="0.25">
      <c r="A6" s="2">
        <v>204</v>
      </c>
      <c r="B6" s="29" t="s">
        <v>71</v>
      </c>
    </row>
    <row r="7" spans="1:2" x14ac:dyDescent="0.25">
      <c r="A7" s="2">
        <v>205</v>
      </c>
      <c r="B7" s="29" t="s">
        <v>73</v>
      </c>
    </row>
    <row r="8" spans="1:2" x14ac:dyDescent="0.25">
      <c r="A8" s="2">
        <v>206</v>
      </c>
      <c r="B8" s="29" t="s">
        <v>75</v>
      </c>
    </row>
    <row r="9" spans="1:2" x14ac:dyDescent="0.25">
      <c r="A9" s="2">
        <v>207</v>
      </c>
      <c r="B9" s="29" t="s">
        <v>77</v>
      </c>
    </row>
    <row r="10" spans="1:2" x14ac:dyDescent="0.25">
      <c r="A10" s="2">
        <v>208</v>
      </c>
      <c r="B10" s="29" t="s">
        <v>79</v>
      </c>
    </row>
    <row r="11" spans="1:2" x14ac:dyDescent="0.25">
      <c r="A11" s="2">
        <v>209</v>
      </c>
      <c r="B11" s="29" t="s">
        <v>81</v>
      </c>
    </row>
    <row r="12" spans="1:2" x14ac:dyDescent="0.25">
      <c r="A12" s="2">
        <v>210</v>
      </c>
      <c r="B12" s="29" t="s">
        <v>70</v>
      </c>
    </row>
    <row r="13" spans="1:2" x14ac:dyDescent="0.25">
      <c r="A13" s="2">
        <v>211</v>
      </c>
      <c r="B13" s="29" t="s">
        <v>72</v>
      </c>
    </row>
    <row r="14" spans="1:2" x14ac:dyDescent="0.25">
      <c r="A14" s="2">
        <v>212</v>
      </c>
      <c r="B14" s="29" t="s">
        <v>85</v>
      </c>
    </row>
    <row r="15" spans="1:2" x14ac:dyDescent="0.25">
      <c r="A15" s="2">
        <v>213</v>
      </c>
      <c r="B15" s="29" t="s">
        <v>87</v>
      </c>
    </row>
    <row r="16" spans="1:2" x14ac:dyDescent="0.25">
      <c r="A16" s="2">
        <v>214</v>
      </c>
      <c r="B16" s="29" t="s">
        <v>89</v>
      </c>
    </row>
    <row r="17" spans="1:2" x14ac:dyDescent="0.25">
      <c r="A17" s="2">
        <v>215</v>
      </c>
      <c r="B17" s="29" t="s">
        <v>90</v>
      </c>
    </row>
    <row r="18" spans="1:2" x14ac:dyDescent="0.25">
      <c r="A18" s="2">
        <v>216</v>
      </c>
      <c r="B18" s="29" t="s">
        <v>92</v>
      </c>
    </row>
    <row r="19" spans="1:2" x14ac:dyDescent="0.25">
      <c r="A19" s="2">
        <v>217</v>
      </c>
      <c r="B19" s="29" t="s">
        <v>94</v>
      </c>
    </row>
    <row r="20" spans="1:2" x14ac:dyDescent="0.25">
      <c r="A20" s="2">
        <v>218</v>
      </c>
      <c r="B20" s="29" t="s">
        <v>96</v>
      </c>
    </row>
    <row r="21" spans="1:2" x14ac:dyDescent="0.25">
      <c r="A21" s="2">
        <v>219</v>
      </c>
      <c r="B21" s="29" t="s">
        <v>98</v>
      </c>
    </row>
    <row r="22" spans="1:2" x14ac:dyDescent="0.25">
      <c r="A22" s="2">
        <v>220</v>
      </c>
      <c r="B22" s="29" t="s">
        <v>100</v>
      </c>
    </row>
    <row r="23" spans="1:2" x14ac:dyDescent="0.25">
      <c r="A23" s="2">
        <v>221</v>
      </c>
      <c r="B23" s="29" t="s">
        <v>102</v>
      </c>
    </row>
    <row r="24" spans="1:2" x14ac:dyDescent="0.25">
      <c r="A24" s="2">
        <v>222</v>
      </c>
      <c r="B24" s="29" t="s">
        <v>104</v>
      </c>
    </row>
    <row r="25" spans="1:2" x14ac:dyDescent="0.25">
      <c r="A25" s="2">
        <v>223</v>
      </c>
      <c r="B25" s="29" t="s">
        <v>106</v>
      </c>
    </row>
    <row r="26" spans="1:2" x14ac:dyDescent="0.25">
      <c r="A26" s="2">
        <v>224</v>
      </c>
      <c r="B26" s="29" t="s">
        <v>108</v>
      </c>
    </row>
    <row r="27" spans="1:2" x14ac:dyDescent="0.25">
      <c r="A27" s="2">
        <v>225</v>
      </c>
      <c r="B27" s="29" t="s">
        <v>110</v>
      </c>
    </row>
    <row r="28" spans="1:2" x14ac:dyDescent="0.25">
      <c r="A28" s="2">
        <v>226</v>
      </c>
      <c r="B28" s="29" t="s">
        <v>112</v>
      </c>
    </row>
    <row r="29" spans="1:2" x14ac:dyDescent="0.25">
      <c r="A29" s="2">
        <v>227</v>
      </c>
      <c r="B29" s="29" t="s">
        <v>114</v>
      </c>
    </row>
    <row r="30" spans="1:2" x14ac:dyDescent="0.25">
      <c r="A30" s="2">
        <v>228</v>
      </c>
      <c r="B30" s="29" t="s">
        <v>116</v>
      </c>
    </row>
    <row r="31" spans="1:2" x14ac:dyDescent="0.25">
      <c r="A31" s="2">
        <v>229</v>
      </c>
      <c r="B31" s="29" t="s">
        <v>118</v>
      </c>
    </row>
    <row r="32" spans="1:2" x14ac:dyDescent="0.25">
      <c r="A32" s="2">
        <v>230</v>
      </c>
      <c r="B32" s="29" t="s">
        <v>120</v>
      </c>
    </row>
    <row r="33" spans="1:2" x14ac:dyDescent="0.25">
      <c r="A33" s="2">
        <v>231</v>
      </c>
      <c r="B33" s="29" t="s">
        <v>121</v>
      </c>
    </row>
    <row r="34" spans="1:2" x14ac:dyDescent="0.25">
      <c r="A34" s="2">
        <v>232</v>
      </c>
      <c r="B34" s="29" t="s">
        <v>123</v>
      </c>
    </row>
    <row r="35" spans="1:2" x14ac:dyDescent="0.25">
      <c r="A35" s="2">
        <v>233</v>
      </c>
      <c r="B35" s="29" t="s">
        <v>124</v>
      </c>
    </row>
    <row r="36" spans="1:2" x14ac:dyDescent="0.25">
      <c r="A36" s="2">
        <v>234</v>
      </c>
      <c r="B36" s="29" t="s">
        <v>126</v>
      </c>
    </row>
    <row r="37" spans="1:2" x14ac:dyDescent="0.25">
      <c r="A37" s="2">
        <v>235</v>
      </c>
      <c r="B37" s="29" t="s">
        <v>128</v>
      </c>
    </row>
    <row r="38" spans="1:2" x14ac:dyDescent="0.25">
      <c r="A38" s="2">
        <v>236</v>
      </c>
      <c r="B38" s="29" t="s">
        <v>129</v>
      </c>
    </row>
    <row r="39" spans="1:2" x14ac:dyDescent="0.25">
      <c r="A39" s="2">
        <v>237</v>
      </c>
      <c r="B39" s="29" t="s">
        <v>131</v>
      </c>
    </row>
    <row r="40" spans="1:2" x14ac:dyDescent="0.25">
      <c r="A40" s="2">
        <v>238</v>
      </c>
      <c r="B40" s="29" t="s">
        <v>133</v>
      </c>
    </row>
    <row r="41" spans="1:2" x14ac:dyDescent="0.25">
      <c r="A41" s="2">
        <v>239</v>
      </c>
      <c r="B41" s="29" t="s">
        <v>135</v>
      </c>
    </row>
    <row r="42" spans="1:2" x14ac:dyDescent="0.25">
      <c r="A42" s="2">
        <v>240</v>
      </c>
      <c r="B42" s="29" t="s">
        <v>137</v>
      </c>
    </row>
    <row r="43" spans="1:2" x14ac:dyDescent="0.25">
      <c r="A43" s="2">
        <v>241</v>
      </c>
      <c r="B43" s="29" t="s">
        <v>139</v>
      </c>
    </row>
    <row r="44" spans="1:2" x14ac:dyDescent="0.25">
      <c r="A44" s="2">
        <v>242</v>
      </c>
      <c r="B44" s="29" t="s">
        <v>36</v>
      </c>
    </row>
    <row r="45" spans="1:2" x14ac:dyDescent="0.25">
      <c r="A45" s="2">
        <v>243</v>
      </c>
      <c r="B45" s="29" t="s">
        <v>140</v>
      </c>
    </row>
    <row r="46" spans="1:2" x14ac:dyDescent="0.25">
      <c r="A46" s="2">
        <v>244</v>
      </c>
      <c r="B46" s="29" t="s">
        <v>141</v>
      </c>
    </row>
    <row r="47" spans="1:2" x14ac:dyDescent="0.25">
      <c r="A47" s="2">
        <v>245</v>
      </c>
      <c r="B47" s="29" t="s">
        <v>142</v>
      </c>
    </row>
    <row r="48" spans="1:2" x14ac:dyDescent="0.25">
      <c r="A48" s="2">
        <v>246</v>
      </c>
      <c r="B48" s="29" t="s">
        <v>143</v>
      </c>
    </row>
    <row r="49" spans="1:2" x14ac:dyDescent="0.25">
      <c r="A49" s="2">
        <v>247</v>
      </c>
      <c r="B49" s="29" t="s">
        <v>144</v>
      </c>
    </row>
    <row r="50" spans="1:2" x14ac:dyDescent="0.25">
      <c r="A50" s="2">
        <v>248</v>
      </c>
      <c r="B50" s="29" t="s">
        <v>145</v>
      </c>
    </row>
    <row r="51" spans="1:2" x14ac:dyDescent="0.25">
      <c r="A51" s="2">
        <v>249</v>
      </c>
      <c r="B51" s="29" t="s">
        <v>146</v>
      </c>
    </row>
    <row r="52" spans="1:2" x14ac:dyDescent="0.25">
      <c r="A52" s="2">
        <v>250</v>
      </c>
      <c r="B52" s="29" t="s">
        <v>147</v>
      </c>
    </row>
    <row r="53" spans="1:2" x14ac:dyDescent="0.25">
      <c r="A53" s="2">
        <v>251</v>
      </c>
      <c r="B53" s="29" t="s">
        <v>148</v>
      </c>
    </row>
    <row r="54" spans="1:2" x14ac:dyDescent="0.25">
      <c r="A54" s="2">
        <v>252</v>
      </c>
      <c r="B54" s="29" t="s">
        <v>149</v>
      </c>
    </row>
    <row r="55" spans="1:2" x14ac:dyDescent="0.25">
      <c r="A55" s="2">
        <v>253</v>
      </c>
      <c r="B55" s="29" t="s">
        <v>150</v>
      </c>
    </row>
    <row r="56" spans="1:2" x14ac:dyDescent="0.25">
      <c r="A56" s="2">
        <v>254</v>
      </c>
      <c r="B56" s="29" t="s">
        <v>151</v>
      </c>
    </row>
    <row r="57" spans="1:2" x14ac:dyDescent="0.25">
      <c r="A57" s="2">
        <v>255</v>
      </c>
      <c r="B57" s="29" t="s">
        <v>152</v>
      </c>
    </row>
    <row r="58" spans="1:2" x14ac:dyDescent="0.25">
      <c r="A58" s="2">
        <v>256</v>
      </c>
      <c r="B58" s="29" t="s">
        <v>153</v>
      </c>
    </row>
    <row r="59" spans="1:2" x14ac:dyDescent="0.25">
      <c r="A59" s="2">
        <v>257</v>
      </c>
      <c r="B59" s="29" t="s">
        <v>154</v>
      </c>
    </row>
    <row r="60" spans="1:2" x14ac:dyDescent="0.25">
      <c r="A60" s="2">
        <v>258</v>
      </c>
      <c r="B60" s="29" t="s">
        <v>155</v>
      </c>
    </row>
    <row r="61" spans="1:2" x14ac:dyDescent="0.25">
      <c r="A61" s="2">
        <v>259</v>
      </c>
      <c r="B61" s="29" t="s">
        <v>156</v>
      </c>
    </row>
    <row r="62" spans="1:2" x14ac:dyDescent="0.25">
      <c r="A62" s="2">
        <v>260</v>
      </c>
      <c r="B62" s="29" t="s">
        <v>157</v>
      </c>
    </row>
    <row r="63" spans="1:2" x14ac:dyDescent="0.25">
      <c r="A63" s="2">
        <v>261</v>
      </c>
      <c r="B63" s="29" t="s">
        <v>158</v>
      </c>
    </row>
    <row r="64" spans="1:2" x14ac:dyDescent="0.25">
      <c r="A64" s="2">
        <v>262</v>
      </c>
      <c r="B64" s="29" t="s">
        <v>159</v>
      </c>
    </row>
    <row r="65" spans="1:2" x14ac:dyDescent="0.25">
      <c r="A65" s="2">
        <v>263</v>
      </c>
      <c r="B65" s="29" t="s">
        <v>160</v>
      </c>
    </row>
    <row r="66" spans="1:2" x14ac:dyDescent="0.25">
      <c r="A66" s="2">
        <v>264</v>
      </c>
      <c r="B66" s="29" t="s">
        <v>161</v>
      </c>
    </row>
    <row r="67" spans="1:2" x14ac:dyDescent="0.25">
      <c r="A67" s="2">
        <v>265</v>
      </c>
      <c r="B67" s="29" t="s">
        <v>162</v>
      </c>
    </row>
    <row r="68" spans="1:2" x14ac:dyDescent="0.25">
      <c r="A68" s="2">
        <v>266</v>
      </c>
      <c r="B68" s="29" t="s">
        <v>163</v>
      </c>
    </row>
    <row r="69" spans="1:2" x14ac:dyDescent="0.25">
      <c r="A69" s="2">
        <v>267</v>
      </c>
      <c r="B69" s="29" t="s">
        <v>164</v>
      </c>
    </row>
    <row r="70" spans="1:2" x14ac:dyDescent="0.25">
      <c r="A70" s="2">
        <v>268</v>
      </c>
      <c r="B70" s="29" t="s">
        <v>165</v>
      </c>
    </row>
    <row r="71" spans="1:2" x14ac:dyDescent="0.25">
      <c r="A71" s="2">
        <v>269</v>
      </c>
      <c r="B71" s="29" t="s">
        <v>166</v>
      </c>
    </row>
    <row r="72" spans="1:2" x14ac:dyDescent="0.25">
      <c r="A72" s="2">
        <v>270</v>
      </c>
      <c r="B72" s="29" t="s">
        <v>40</v>
      </c>
    </row>
    <row r="73" spans="1:2" x14ac:dyDescent="0.25">
      <c r="A73" s="2">
        <v>271</v>
      </c>
      <c r="B73" s="29" t="s">
        <v>42</v>
      </c>
    </row>
    <row r="74" spans="1:2" x14ac:dyDescent="0.25">
      <c r="A74" s="2">
        <v>272</v>
      </c>
      <c r="B74" s="29" t="s">
        <v>44</v>
      </c>
    </row>
    <row r="75" spans="1:2" x14ac:dyDescent="0.25">
      <c r="A75" s="2">
        <v>273</v>
      </c>
      <c r="B75" s="29" t="s">
        <v>31</v>
      </c>
    </row>
    <row r="76" spans="1:2" x14ac:dyDescent="0.25">
      <c r="A76" s="2">
        <v>274</v>
      </c>
      <c r="B76" s="29" t="s">
        <v>175</v>
      </c>
    </row>
    <row r="77" spans="1:2" x14ac:dyDescent="0.25">
      <c r="A77" s="2">
        <v>275</v>
      </c>
      <c r="B77" s="29" t="s">
        <v>36</v>
      </c>
    </row>
    <row r="78" spans="1:2" x14ac:dyDescent="0.25">
      <c r="A78" s="2">
        <v>276</v>
      </c>
      <c r="B78" s="29" t="s">
        <v>176</v>
      </c>
    </row>
    <row r="79" spans="1:2" x14ac:dyDescent="0.25">
      <c r="A79" s="2">
        <v>277</v>
      </c>
      <c r="B79" s="29" t="s">
        <v>177</v>
      </c>
    </row>
    <row r="80" spans="1:2" x14ac:dyDescent="0.25">
      <c r="A80" s="2">
        <v>278</v>
      </c>
      <c r="B80" s="29" t="s">
        <v>178</v>
      </c>
    </row>
    <row r="81" spans="1:2" x14ac:dyDescent="0.25">
      <c r="A81" s="2">
        <v>279</v>
      </c>
      <c r="B81" s="29" t="s">
        <v>179</v>
      </c>
    </row>
    <row r="82" spans="1:2" x14ac:dyDescent="0.25">
      <c r="A82" s="2">
        <v>280</v>
      </c>
      <c r="B82" s="29" t="s">
        <v>180</v>
      </c>
    </row>
    <row r="83" spans="1:2" x14ac:dyDescent="0.25">
      <c r="A83" s="2">
        <v>281</v>
      </c>
      <c r="B83" s="29" t="s">
        <v>187</v>
      </c>
    </row>
    <row r="84" spans="1:2" x14ac:dyDescent="0.25">
      <c r="A84" s="2">
        <v>282</v>
      </c>
      <c r="B84" s="29" t="s">
        <v>168</v>
      </c>
    </row>
    <row r="85" spans="1:2" x14ac:dyDescent="0.25">
      <c r="A85" s="2">
        <v>283</v>
      </c>
      <c r="B85" s="29" t="s">
        <v>188</v>
      </c>
    </row>
    <row r="86" spans="1:2" x14ac:dyDescent="0.25">
      <c r="A86" s="2">
        <v>284</v>
      </c>
      <c r="B86" s="29" t="s">
        <v>190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4225-C62D-4364-81FA-32208133E999}">
  <dimension ref="A1:B47"/>
  <sheetViews>
    <sheetView workbookViewId="0">
      <selection sqref="A1:B47"/>
    </sheetView>
  </sheetViews>
  <sheetFormatPr defaultRowHeight="15" x14ac:dyDescent="0.25"/>
  <cols>
    <col min="1" max="1" width="7.5703125" customWidth="1"/>
    <col min="2" max="2" width="19" bestFit="1" customWidth="1"/>
  </cols>
  <sheetData>
    <row r="1" spans="1:2" x14ac:dyDescent="0.25">
      <c r="A1" t="s">
        <v>60</v>
      </c>
      <c r="B1" t="s">
        <v>62</v>
      </c>
    </row>
    <row r="2" spans="1:2" x14ac:dyDescent="0.25">
      <c r="A2">
        <v>1318</v>
      </c>
      <c r="B2" t="s">
        <v>64</v>
      </c>
    </row>
    <row r="3" spans="1:2" x14ac:dyDescent="0.25">
      <c r="A3">
        <v>1328</v>
      </c>
      <c r="B3" t="s">
        <v>67</v>
      </c>
    </row>
    <row r="4" spans="1:2" x14ac:dyDescent="0.25">
      <c r="A4">
        <v>1337</v>
      </c>
      <c r="B4" t="s">
        <v>65</v>
      </c>
    </row>
    <row r="5" spans="1:2" x14ac:dyDescent="0.25">
      <c r="A5">
        <v>1345</v>
      </c>
      <c r="B5" t="s">
        <v>68</v>
      </c>
    </row>
    <row r="6" spans="1:2" x14ac:dyDescent="0.25">
      <c r="A6">
        <v>1346</v>
      </c>
      <c r="B6" t="s">
        <v>70</v>
      </c>
    </row>
    <row r="7" spans="1:2" x14ac:dyDescent="0.25">
      <c r="A7">
        <v>1347</v>
      </c>
      <c r="B7" t="s">
        <v>72</v>
      </c>
    </row>
    <row r="8" spans="1:2" x14ac:dyDescent="0.25">
      <c r="A8">
        <v>1348</v>
      </c>
      <c r="B8" t="s">
        <v>74</v>
      </c>
    </row>
    <row r="9" spans="1:2" x14ac:dyDescent="0.25">
      <c r="A9">
        <v>1349</v>
      </c>
      <c r="B9" t="s">
        <v>76</v>
      </c>
    </row>
    <row r="10" spans="1:2" x14ac:dyDescent="0.25">
      <c r="A10">
        <v>1350</v>
      </c>
      <c r="B10" t="s">
        <v>78</v>
      </c>
    </row>
    <row r="11" spans="1:2" x14ac:dyDescent="0.25">
      <c r="A11">
        <v>1351</v>
      </c>
      <c r="B11" t="s">
        <v>80</v>
      </c>
    </row>
    <row r="12" spans="1:2" x14ac:dyDescent="0.25">
      <c r="A12">
        <v>1352</v>
      </c>
      <c r="B12" t="s">
        <v>82</v>
      </c>
    </row>
    <row r="13" spans="1:2" x14ac:dyDescent="0.25">
      <c r="A13">
        <v>1353</v>
      </c>
      <c r="B13" t="s">
        <v>83</v>
      </c>
    </row>
    <row r="14" spans="1:2" x14ac:dyDescent="0.25">
      <c r="A14">
        <v>1354</v>
      </c>
      <c r="B14" t="s">
        <v>84</v>
      </c>
    </row>
    <row r="15" spans="1:2" x14ac:dyDescent="0.25">
      <c r="A15">
        <v>1355</v>
      </c>
      <c r="B15" t="s">
        <v>86</v>
      </c>
    </row>
    <row r="16" spans="1:2" x14ac:dyDescent="0.25">
      <c r="A16">
        <v>1356</v>
      </c>
      <c r="B16" t="s">
        <v>88</v>
      </c>
    </row>
    <row r="17" spans="1:2" x14ac:dyDescent="0.25">
      <c r="A17">
        <v>1357</v>
      </c>
      <c r="B17" t="s">
        <v>91</v>
      </c>
    </row>
    <row r="18" spans="1:2" x14ac:dyDescent="0.25">
      <c r="A18">
        <v>1358</v>
      </c>
      <c r="B18" t="s">
        <v>93</v>
      </c>
    </row>
    <row r="19" spans="1:2" x14ac:dyDescent="0.25">
      <c r="A19">
        <v>1359</v>
      </c>
      <c r="B19" t="s">
        <v>95</v>
      </c>
    </row>
    <row r="20" spans="1:2" x14ac:dyDescent="0.25">
      <c r="A20">
        <v>1360</v>
      </c>
      <c r="B20" t="s">
        <v>97</v>
      </c>
    </row>
    <row r="21" spans="1:2" x14ac:dyDescent="0.25">
      <c r="A21">
        <v>1361</v>
      </c>
      <c r="B21" t="s">
        <v>99</v>
      </c>
    </row>
    <row r="22" spans="1:2" x14ac:dyDescent="0.25">
      <c r="A22">
        <v>1362</v>
      </c>
      <c r="B22" t="s">
        <v>101</v>
      </c>
    </row>
    <row r="23" spans="1:2" x14ac:dyDescent="0.25">
      <c r="A23">
        <v>1363</v>
      </c>
      <c r="B23" t="s">
        <v>103</v>
      </c>
    </row>
    <row r="24" spans="1:2" x14ac:dyDescent="0.25">
      <c r="A24">
        <v>1364</v>
      </c>
      <c r="B24" t="s">
        <v>105</v>
      </c>
    </row>
    <row r="25" spans="1:2" x14ac:dyDescent="0.25">
      <c r="A25">
        <v>1365</v>
      </c>
      <c r="B25" t="s">
        <v>107</v>
      </c>
    </row>
    <row r="26" spans="1:2" x14ac:dyDescent="0.25">
      <c r="A26">
        <v>1366</v>
      </c>
      <c r="B26" t="s">
        <v>109</v>
      </c>
    </row>
    <row r="27" spans="1:2" x14ac:dyDescent="0.25">
      <c r="A27">
        <v>1367</v>
      </c>
      <c r="B27" t="s">
        <v>111</v>
      </c>
    </row>
    <row r="28" spans="1:2" x14ac:dyDescent="0.25">
      <c r="A28">
        <v>1368</v>
      </c>
      <c r="B28" t="s">
        <v>113</v>
      </c>
    </row>
    <row r="29" spans="1:2" x14ac:dyDescent="0.25">
      <c r="A29">
        <v>1369</v>
      </c>
      <c r="B29" t="s">
        <v>115</v>
      </c>
    </row>
    <row r="30" spans="1:2" x14ac:dyDescent="0.25">
      <c r="A30">
        <v>1370</v>
      </c>
      <c r="B30" t="s">
        <v>117</v>
      </c>
    </row>
    <row r="31" spans="1:2" x14ac:dyDescent="0.25">
      <c r="A31">
        <v>1371</v>
      </c>
      <c r="B31" t="s">
        <v>119</v>
      </c>
    </row>
    <row r="32" spans="1:2" x14ac:dyDescent="0.25">
      <c r="A32">
        <v>1372</v>
      </c>
      <c r="B32" t="s">
        <v>93</v>
      </c>
    </row>
    <row r="33" spans="1:2" x14ac:dyDescent="0.25">
      <c r="A33">
        <v>1373</v>
      </c>
      <c r="B33" t="s">
        <v>122</v>
      </c>
    </row>
    <row r="34" spans="1:2" x14ac:dyDescent="0.25">
      <c r="A34">
        <v>834</v>
      </c>
      <c r="B34" t="s">
        <v>37</v>
      </c>
    </row>
    <row r="35" spans="1:2" x14ac:dyDescent="0.25">
      <c r="A35">
        <v>373</v>
      </c>
      <c r="B35" t="s">
        <v>125</v>
      </c>
    </row>
    <row r="36" spans="1:2" x14ac:dyDescent="0.25">
      <c r="A36">
        <v>1338</v>
      </c>
      <c r="B36" t="s">
        <v>127</v>
      </c>
    </row>
    <row r="37" spans="1:2" x14ac:dyDescent="0.25">
      <c r="A37">
        <v>1377</v>
      </c>
      <c r="B37" t="s">
        <v>33</v>
      </c>
    </row>
    <row r="38" spans="1:2" x14ac:dyDescent="0.25">
      <c r="A38">
        <v>1378</v>
      </c>
      <c r="B38" t="s">
        <v>130</v>
      </c>
    </row>
    <row r="39" spans="1:2" x14ac:dyDescent="0.25">
      <c r="A39">
        <v>658</v>
      </c>
      <c r="B39" t="s">
        <v>132</v>
      </c>
    </row>
    <row r="40" spans="1:2" x14ac:dyDescent="0.25">
      <c r="A40">
        <v>991</v>
      </c>
      <c r="B40" t="s">
        <v>134</v>
      </c>
    </row>
    <row r="41" spans="1:2" x14ac:dyDescent="0.25">
      <c r="A41">
        <v>823</v>
      </c>
      <c r="B41" t="s">
        <v>136</v>
      </c>
    </row>
    <row r="42" spans="1:2" x14ac:dyDescent="0.25">
      <c r="A42">
        <v>1748</v>
      </c>
      <c r="B42" t="s">
        <v>138</v>
      </c>
    </row>
    <row r="43" spans="1:2" x14ac:dyDescent="0.25">
      <c r="A43">
        <v>1747</v>
      </c>
      <c r="B43" t="s">
        <v>41</v>
      </c>
    </row>
    <row r="44" spans="1:2" x14ac:dyDescent="0.25">
      <c r="A44">
        <v>1741</v>
      </c>
      <c r="B44" t="s">
        <v>32</v>
      </c>
    </row>
    <row r="45" spans="1:2" x14ac:dyDescent="0.25">
      <c r="A45">
        <v>1749</v>
      </c>
      <c r="B45" t="s">
        <v>181</v>
      </c>
    </row>
    <row r="46" spans="1:2" x14ac:dyDescent="0.25">
      <c r="A46">
        <v>343</v>
      </c>
      <c r="B46" t="s">
        <v>185</v>
      </c>
    </row>
    <row r="47" spans="1:2" x14ac:dyDescent="0.25">
      <c r="A47">
        <v>1750</v>
      </c>
      <c r="B47" t="s">
        <v>186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E66-F52F-42C8-97E9-866DD69D585D}">
  <dimension ref="A1:B3"/>
  <sheetViews>
    <sheetView workbookViewId="0">
      <selection sqref="A1:B3"/>
    </sheetView>
  </sheetViews>
  <sheetFormatPr defaultRowHeight="15" x14ac:dyDescent="0.25"/>
  <cols>
    <col min="1" max="1" width="5.85546875" customWidth="1"/>
    <col min="2" max="2" width="11.28515625" customWidth="1"/>
  </cols>
  <sheetData>
    <row r="1" spans="1:2" x14ac:dyDescent="0.25">
      <c r="A1" t="s">
        <v>60</v>
      </c>
      <c r="B1" t="s">
        <v>63</v>
      </c>
    </row>
    <row r="2" spans="1:2" x14ac:dyDescent="0.25">
      <c r="B2" t="s">
        <v>34</v>
      </c>
    </row>
    <row r="3" spans="1:2" x14ac:dyDescent="0.25">
      <c r="B3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2048-0124-4159-8DFA-B793A7CC534B}">
  <dimension ref="A1:C32"/>
  <sheetViews>
    <sheetView workbookViewId="0">
      <selection activeCell="B23" sqref="B23"/>
    </sheetView>
  </sheetViews>
  <sheetFormatPr defaultRowHeight="15" x14ac:dyDescent="0.25"/>
  <cols>
    <col min="1" max="1" width="22" customWidth="1"/>
    <col min="2" max="2" width="29" customWidth="1"/>
    <col min="3" max="3" width="32.28515625" customWidth="1"/>
  </cols>
  <sheetData>
    <row r="1" spans="1:3" ht="28.9" customHeight="1" x14ac:dyDescent="0.25">
      <c r="A1" s="34" t="s">
        <v>205</v>
      </c>
      <c r="B1" s="34" t="s">
        <v>203</v>
      </c>
      <c r="C1" s="34" t="s">
        <v>204</v>
      </c>
    </row>
    <row r="2" spans="1:3" x14ac:dyDescent="0.25">
      <c r="A2" s="43" t="s">
        <v>217</v>
      </c>
      <c r="B2" t="s">
        <v>0</v>
      </c>
    </row>
    <row r="3" spans="1:3" x14ac:dyDescent="0.25">
      <c r="A3" s="43" t="s">
        <v>217</v>
      </c>
      <c r="B3" t="s">
        <v>1</v>
      </c>
    </row>
    <row r="4" spans="1:3" x14ac:dyDescent="0.25">
      <c r="A4" s="43" t="s">
        <v>217</v>
      </c>
      <c r="B4" t="s">
        <v>2</v>
      </c>
    </row>
    <row r="5" spans="1:3" x14ac:dyDescent="0.25">
      <c r="A5" s="43" t="s">
        <v>217</v>
      </c>
      <c r="B5" t="s">
        <v>3</v>
      </c>
    </row>
    <row r="6" spans="1:3" x14ac:dyDescent="0.25">
      <c r="A6" s="43" t="s">
        <v>217</v>
      </c>
      <c r="B6" t="s">
        <v>4</v>
      </c>
    </row>
    <row r="7" spans="1:3" x14ac:dyDescent="0.25">
      <c r="A7" s="43" t="s">
        <v>217</v>
      </c>
      <c r="B7" t="s">
        <v>5</v>
      </c>
    </row>
    <row r="8" spans="1:3" x14ac:dyDescent="0.25">
      <c r="A8" s="43" t="s">
        <v>217</v>
      </c>
      <c r="B8" t="s">
        <v>6</v>
      </c>
    </row>
    <row r="9" spans="1:3" x14ac:dyDescent="0.25">
      <c r="A9" s="43" t="s">
        <v>217</v>
      </c>
      <c r="B9" t="s">
        <v>7</v>
      </c>
    </row>
    <row r="10" spans="1:3" x14ac:dyDescent="0.25">
      <c r="A10" s="43" t="s">
        <v>217</v>
      </c>
      <c r="B10" t="s">
        <v>8</v>
      </c>
    </row>
    <row r="11" spans="1:3" x14ac:dyDescent="0.25">
      <c r="A11" s="43" t="s">
        <v>217</v>
      </c>
      <c r="B11" t="s">
        <v>210</v>
      </c>
    </row>
    <row r="12" spans="1:3" x14ac:dyDescent="0.25">
      <c r="A12" s="43" t="s">
        <v>217</v>
      </c>
      <c r="B12" t="s">
        <v>9</v>
      </c>
    </row>
    <row r="13" spans="1:3" x14ac:dyDescent="0.25">
      <c r="A13" s="43" t="s">
        <v>217</v>
      </c>
      <c r="B13" t="s">
        <v>10</v>
      </c>
    </row>
    <row r="14" spans="1:3" x14ac:dyDescent="0.25">
      <c r="A14" s="43" t="s">
        <v>217</v>
      </c>
      <c r="B14" t="s">
        <v>11</v>
      </c>
    </row>
    <row r="15" spans="1:3" x14ac:dyDescent="0.25">
      <c r="A15" s="43" t="s">
        <v>217</v>
      </c>
      <c r="B15" t="s">
        <v>12</v>
      </c>
    </row>
    <row r="16" spans="1:3" x14ac:dyDescent="0.25">
      <c r="A16" s="43" t="s">
        <v>217</v>
      </c>
      <c r="B16" t="s">
        <v>13</v>
      </c>
    </row>
    <row r="17" spans="1:2" x14ac:dyDescent="0.25">
      <c r="A17" s="43" t="s">
        <v>217</v>
      </c>
      <c r="B17" t="s">
        <v>14</v>
      </c>
    </row>
    <row r="18" spans="1:2" x14ac:dyDescent="0.25">
      <c r="A18" s="43" t="s">
        <v>217</v>
      </c>
      <c r="B18" t="s">
        <v>15</v>
      </c>
    </row>
    <row r="19" spans="1:2" x14ac:dyDescent="0.25">
      <c r="A19" s="43" t="s">
        <v>217</v>
      </c>
      <c r="B19" t="s">
        <v>16</v>
      </c>
    </row>
    <row r="20" spans="1:2" x14ac:dyDescent="0.25">
      <c r="A20" s="43" t="s">
        <v>217</v>
      </c>
      <c r="B20" t="s">
        <v>17</v>
      </c>
    </row>
    <row r="21" spans="1:2" x14ac:dyDescent="0.25">
      <c r="A21" s="43" t="s">
        <v>217</v>
      </c>
      <c r="B21" t="s">
        <v>18</v>
      </c>
    </row>
    <row r="22" spans="1:2" x14ac:dyDescent="0.25">
      <c r="A22" s="43" t="s">
        <v>217</v>
      </c>
      <c r="B22" t="s">
        <v>19</v>
      </c>
    </row>
    <row r="23" spans="1:2" x14ac:dyDescent="0.25">
      <c r="A23" s="43" t="s">
        <v>217</v>
      </c>
      <c r="B23" t="s">
        <v>20</v>
      </c>
    </row>
    <row r="24" spans="1:2" x14ac:dyDescent="0.25">
      <c r="A24" s="43" t="s">
        <v>217</v>
      </c>
      <c r="B24" t="s">
        <v>21</v>
      </c>
    </row>
    <row r="25" spans="1:2" x14ac:dyDescent="0.25">
      <c r="A25" s="43" t="s">
        <v>217</v>
      </c>
      <c r="B25" t="s">
        <v>22</v>
      </c>
    </row>
    <row r="26" spans="1:2" x14ac:dyDescent="0.25">
      <c r="A26" s="43" t="s">
        <v>217</v>
      </c>
      <c r="B26" t="s">
        <v>23</v>
      </c>
    </row>
    <row r="27" spans="1:2" x14ac:dyDescent="0.25">
      <c r="A27" s="43" t="s">
        <v>217</v>
      </c>
      <c r="B27" t="s">
        <v>24</v>
      </c>
    </row>
    <row r="28" spans="1:2" x14ac:dyDescent="0.25">
      <c r="A28" s="43" t="s">
        <v>217</v>
      </c>
      <c r="B28" t="s">
        <v>25</v>
      </c>
    </row>
    <row r="29" spans="1:2" x14ac:dyDescent="0.25">
      <c r="A29" s="43" t="s">
        <v>217</v>
      </c>
      <c r="B29" t="s">
        <v>26</v>
      </c>
    </row>
    <row r="30" spans="1:2" x14ac:dyDescent="0.25">
      <c r="A30" s="43" t="s">
        <v>217</v>
      </c>
      <c r="B30" t="s">
        <v>27</v>
      </c>
    </row>
    <row r="31" spans="1:2" x14ac:dyDescent="0.25">
      <c r="A31" s="43" t="s">
        <v>217</v>
      </c>
      <c r="B31" t="s">
        <v>28</v>
      </c>
    </row>
    <row r="32" spans="1:2" x14ac:dyDescent="0.25">
      <c r="A32" s="43" t="s">
        <v>217</v>
      </c>
      <c r="B32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B4A5-D167-467A-BA41-B011B34FADAD}">
  <dimension ref="A1:D1"/>
  <sheetViews>
    <sheetView tabSelected="1" workbookViewId="0">
      <selection activeCell="H2" sqref="H1:H2"/>
    </sheetView>
  </sheetViews>
  <sheetFormatPr defaultRowHeight="15" x14ac:dyDescent="0.25"/>
  <cols>
    <col min="1" max="1" width="20.42578125" customWidth="1"/>
    <col min="2" max="2" width="46.5703125" customWidth="1"/>
    <col min="3" max="3" width="44.42578125" customWidth="1"/>
    <col min="4" max="4" width="31.85546875" customWidth="1"/>
  </cols>
  <sheetData>
    <row r="1" spans="1:4" ht="32.25" customHeight="1" x14ac:dyDescent="0.25">
      <c r="A1" s="34" t="s">
        <v>206</v>
      </c>
      <c r="B1" s="34" t="s">
        <v>207</v>
      </c>
      <c r="C1" s="35" t="s">
        <v>208</v>
      </c>
      <c r="D1" s="36" t="s">
        <v>209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f__x0440__x0438__x043c__x0435__x0447__x0430__x043d__x0438__x044f_ xmlns="83436558-f316-4017-a642-00b22f46d7ac" xsi:nil="true"/>
    <lcf76f155ced4ddcb4097134ff3c332f xmlns="83436558-f316-4017-a642-00b22f46d7ac">
      <Terms xmlns="http://schemas.microsoft.com/office/infopath/2007/PartnerControls"/>
    </lcf76f155ced4ddcb4097134ff3c332f>
    <TaxCatchAll xmlns="41701b6f-e099-46ea-a3e7-883fda740bf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6E545EC638D0643BD4FC4309AE781E9" ma:contentTypeVersion="9" ma:contentTypeDescription="Создание документа." ma:contentTypeScope="" ma:versionID="4166ca5eb8474c2d52b1063ff0dd7a95">
  <xsd:schema xmlns:xsd="http://www.w3.org/2001/XMLSchema" xmlns:xs="http://www.w3.org/2001/XMLSchema" xmlns:p="http://schemas.microsoft.com/office/2006/metadata/properties" xmlns:ns2="83436558-f316-4017-a642-00b22f46d7ac" xmlns:ns3="41701b6f-e099-46ea-a3e7-883fda740bf3" targetNamespace="http://schemas.microsoft.com/office/2006/metadata/properties" ma:root="true" ma:fieldsID="4e75eddf72c58dc6a2433f9a8cf3ea0f" ns2:_="" ns3:_="">
    <xsd:import namespace="83436558-f316-4017-a642-00b22f46d7ac"/>
    <xsd:import namespace="41701b6f-e099-46ea-a3e7-883fda740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041f__x0440__x0438__x043c__x0435__x0447__x0430__x043d__x0438__x044f_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36558-f316-4017-a642-00b22f46d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41f__x0440__x0438__x043c__x0435__x0447__x0430__x043d__x0438__x044f_" ma:index="10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01b6f-e099-46ea-a3e7-883fda740bf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e5c0d7-b470-4d03-8fc7-b2611b827155}" ma:internalName="TaxCatchAll" ma:showField="CatchAllData" ma:web="41701b6f-e099-46ea-a3e7-883fda740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2A78E4-E571-418C-9457-F271DEF41B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D09B5D-28B0-4F12-9A9F-CB3446237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65EAE3-9FF1-4610-AF8F-2C5AD0188605}">
  <ds:schemaRefs>
    <ds:schemaRef ds:uri="http://schemas.microsoft.com/office/2006/metadata/properties"/>
    <ds:schemaRef ds:uri="http://schemas.microsoft.com/office/infopath/2007/PartnerControls"/>
    <ds:schemaRef ds:uri="83436558-f316-4017-a642-00b22f46d7ac"/>
    <ds:schemaRef ds:uri="41701b6f-e099-46ea-a3e7-883fda740bf3"/>
  </ds:schemaRefs>
</ds:datastoreItem>
</file>

<file path=customXml/itemProps4.xml><?xml version="1.0" encoding="utf-8"?>
<ds:datastoreItem xmlns:ds="http://schemas.openxmlformats.org/officeDocument/2006/customXml" ds:itemID="{09CBB852-B535-48D4-90DE-7363AAED2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36558-f316-4017-a642-00b22f46d7ac"/>
    <ds:schemaRef ds:uri="41701b6f-e099-46ea-a3e7-883fda740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SpecificationWork</vt:lpstr>
      <vt:lpstr>HandbookBrand</vt:lpstr>
      <vt:lpstr>HandbookSupplier</vt:lpstr>
      <vt:lpstr>HandbookUnit</vt:lpstr>
      <vt:lpstr>СolumnDescriptions</vt:lpstr>
      <vt:lpstr>ConfigJSON</vt:lpstr>
    </vt:vector>
  </TitlesOfParts>
  <Manager/>
  <Company>ООО Горизонт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Проект 1/2024. Северсталь-Заказ №2</dc:subject>
  <dc:creator>Иван Кукушкин</dc:creator>
  <cp:keywords/>
  <dc:description/>
  <cp:lastModifiedBy>Наталья Кукушкина</cp:lastModifiedBy>
  <cp:revision>3</cp:revision>
  <dcterms:created xsi:type="dcterms:W3CDTF">2022-08-15T07:15:08Z</dcterms:created>
  <dcterms:modified xsi:type="dcterms:W3CDTF">2025-09-08T13:12:38Z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0x010100B6E545EC638D0643BD4FC4309AE781E9</vt:lpwstr>
  </property>
  <property fmtid="{D5CDD505-2E9C-101B-9397-08002B2CF9AE}" pid="3" name="MediaServiceImageTags">
    <vt:lpwstr/>
  </property>
  <property fmtid="{D5CDD505-2E9C-101B-9397-08002B2CF9AE}" pid="4" name="Order">
    <vt:r8>44800</vt:r8>
  </property>
  <property fmtid="{D5CDD505-2E9C-101B-9397-08002B2CF9AE}" pid="5" name="Примечание">
    <vt:lpwstr>Ревизия rev.02 версия v01 стала основным исходным материалом для подготовки СВОДНОГО документа - "30__Специффикация-МАС - SummaryTable rev.10". Данная ревизия + версия - это окончательные файлы спецификаций. Даже если необходимо внести изменения, то они вносятся в данные файлы без изменений ревизии и версии. ВНИМАТЕЛЬНО смотрите комментарии !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