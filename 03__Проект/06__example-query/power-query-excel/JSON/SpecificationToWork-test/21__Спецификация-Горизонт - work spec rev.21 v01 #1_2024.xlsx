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960f393676dadff3/01__LLC_MAS_2025/КИТ/PowerQueryScript/Example/power query - excel/JSON/SpecificationToWork-test/"/>
    </mc:Choice>
  </mc:AlternateContent>
  <xr:revisionPtr revIDLastSave="154" documentId="13_ncr:1_{D979DE24-EFC3-4EF0-9BD0-B2B117047C50}" xr6:coauthVersionLast="47" xr6:coauthVersionMax="47" xr10:uidLastSave="{B13162CE-AF57-40AF-86D7-6DBB91DE48F4}"/>
  <bookViews>
    <workbookView xWindow="120" yWindow="0" windowWidth="18852" windowHeight="16788" tabRatio="479" xr2:uid="{00000000-000D-0000-FFFF-FFFF00000000}"/>
  </bookViews>
  <sheets>
    <sheet name="SpecificationWork" sheetId="7" r:id="rId1"/>
    <sheet name="HandbookBrand" sheetId="2" r:id="rId2"/>
    <sheet name="HandbookSupplier" sheetId="10" r:id="rId3"/>
    <sheet name="HandbookUnit" sheetId="11" r:id="rId4"/>
    <sheet name="СolumnDescriptions" sheetId="8" r:id="rId5"/>
    <sheet name="ConfigJSON" sheetId="9" r:id="rId6"/>
  </sheets>
  <definedNames>
    <definedName name="Brand">#REF!</definedName>
    <definedName name="ExternalData_2" localSheetId="1" hidden="1">HandbookBrand!#REF!</definedName>
    <definedName name="ExternalData_2" localSheetId="2" hidden="1">HandbookSupplier!$A$1:$B$47</definedName>
    <definedName name="ExternalData_3" localSheetId="1" hidden="1">HandbookBrand!#REF!</definedName>
    <definedName name="ExternalData_4" localSheetId="3" hidden="1">HandbookUnit!$A$1:$B$3</definedName>
    <definedName name="ExternalData_5" localSheetId="1" hidden="1">HandbookBrand!#REF!</definedName>
    <definedName name="ExternalData_6" localSheetId="1" hidden="1">HandbookBrand!$A$1:$B$86</definedName>
  </definedName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7" l="1"/>
  <c r="W2" i="7"/>
  <c r="Y2" i="7" s="1"/>
  <c r="W3" i="7"/>
  <c r="Y3" i="7" s="1"/>
  <c r="W4" i="7"/>
  <c r="Y4" i="7" s="1"/>
  <c r="W5" i="7"/>
  <c r="Y5" i="7" s="1"/>
  <c r="W6" i="7"/>
  <c r="Y6" i="7" s="1"/>
  <c r="W7" i="7"/>
  <c r="Y7" i="7" s="1"/>
  <c r="W8" i="7"/>
  <c r="Y8" i="7" s="1"/>
  <c r="Q8" i="7" l="1"/>
  <c r="X8" i="7" s="1"/>
  <c r="Z8" i="7" s="1"/>
  <c r="E7" i="7"/>
  <c r="Q7" i="7"/>
  <c r="X7" i="7" s="1"/>
  <c r="Z7" i="7" s="1"/>
  <c r="E6" i="7"/>
  <c r="Q6" i="7"/>
  <c r="X6" i="7" s="1"/>
  <c r="Z6" i="7" s="1"/>
  <c r="T8" i="7" l="1"/>
  <c r="T6" i="7"/>
  <c r="T7" i="7"/>
  <c r="E4" i="7"/>
  <c r="Q4" i="7"/>
  <c r="X4" i="7" s="1"/>
  <c r="Z4" i="7" s="1"/>
  <c r="E2" i="7"/>
  <c r="Q2" i="7"/>
  <c r="X2" i="7" s="1"/>
  <c r="Z2" i="7" s="1"/>
  <c r="E3" i="7"/>
  <c r="Q3" i="7"/>
  <c r="X3" i="7" s="1"/>
  <c r="Z3" i="7" s="1"/>
  <c r="T2" i="7" l="1"/>
  <c r="T4" i="7"/>
  <c r="T3" i="7"/>
  <c r="Q5" i="7"/>
  <c r="X5" i="7" s="1"/>
  <c r="Z5" i="7" s="1"/>
  <c r="T5" i="7" l="1"/>
  <c r="E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tc={D273293F-CA60-40FC-B46E-3E6A80A52972}</author>
    <author>tc={9D432AF8-A6E2-47EB-92DF-B21A269C6848}</author>
    <author>tc={9C491309-6F02-4709-9819-F62CC671A92C}</author>
    <author>tc={5BCE4ACB-DA63-43DE-89D7-0AF9B104CC24}</author>
  </authors>
  <commentList>
    <comment ref="A1" authorId="0" shapeId="0" xr:uid="{D273293F-CA60-40FC-B46E-3E6A80A52972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Столбец хранит уникальный, для данной таблицы в данной Excel книге, целочисленные идентификаторы. Данный идентификатор не является основообразующим для работы BI скриптов, в качестве таковых выступают значения ключевого для данной таблицы столбца - 'IDconfig'. Тем не менее к столбцу предъявляются типовые требования целочисленных ID столбцов - значения должны быть целочисленным, начинаться строго с '1' и не иметь разрывов и перескоков в цепочке значений.</t>
      </text>
    </comment>
    <comment ref="B1" authorId="1" shapeId="0" xr:uid="{9D432AF8-A6E2-47EB-92DF-B21A269C6848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Столбец хранит уникальные, для данной таблицы в данной Excel книге, текстовые идентификаторы. По данному идентификатору внешний Power Query скрипт будет находить  требуемый конфигурационный JSON объект в столбце ‘CONFIG_JSON’ и обрабатывать таблицу в соответствии с ним. В качестве значений могут выступать любые текстовые фразы, в том числе состоящие из нескольких слов но не имеющие в своем составе пробелов, также необходимо соблюдать язык символов - только латиница.</t>
      </text>
    </comment>
    <comment ref="C1" authorId="2" shapeId="0" xr:uid="{9C491309-6F02-4709-9819-F62CC671A92C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Столбец хранит набор конфигурационных объектов, строго в формате JSON, в которых на языке 'HorizonBI' описано:
'ЧТО/КАК/В КАКОМ ОБЪЕМЕ' необходимо обработать объект Excel книги.</t>
      </text>
    </comment>
    <comment ref="D1" authorId="3" shapeId="0" xr:uid="{5BCE4ACB-DA63-43DE-89D7-0AF9B104CC24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Комментарий определяющий назначение конфигурационного JSON объекта.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88C37A-6781-4D65-A864-07AC4D161648}" keepAlive="1" name="Запрос — fnGetColumnNamesByTableName" description="Соединение с запросом &quot;fnGetColumnNamesByTableName&quot; в книге." type="5" refreshedVersion="0" background="1" saveData="1">
    <dbPr connection="Provider=Microsoft.Mashup.OleDb.1;Data Source=$Workbook$;Location=fnGetColumnNamesByTableName;Extended Properties=&quot;&quot;" command="SELECT * FROM [fnGetColumnNamesByTableName]"/>
  </connection>
  <connection id="2" xr16:uid="{ECB919B8-4478-4C9D-83F8-F115544B0DB9}" keepAlive="1" name="Запрос — FuncSpecResultImage" description="Соединение с запросом &quot;FuncSpecResultImage&quot; в книге." type="5" refreshedVersion="0" background="1">
    <dbPr connection="Provider=Microsoft.Mashup.OleDb.1;Data Source=$Workbook$;Location=FuncSpecResultImage;Extended Properties=&quot;&quot;" command="SELECT * FROM [FuncSpecResultImage]"/>
  </connection>
  <connection id="3" xr16:uid="{7C170697-A067-4BED-B89E-6311B936AE3B}" keepAlive="1" name="Запрос — QueryDBimage" description="Соединение с запросом &quot;QueryDBimage&quot; в книге." type="5" refreshedVersion="0" background="1">
    <dbPr connection="Provider=Microsoft.Mashup.OleDb.1;Data Source=$Workbook$;Location=QueryDBimage;Extended Properties=&quot;&quot;" command="SELECT * FROM [QueryDBimage]"/>
  </connection>
  <connection id="4" xr16:uid="{DF062646-4EB7-4F03-B8EF-2D10A520BF4C}" keepAlive="1" name="Запрос — QuerySpecificationAll" description="Соединение с запросом &quot;QuerySpecificationAll&quot; в книге." type="5" refreshedVersion="0" background="1" saveData="1">
    <dbPr connection="Provider=Microsoft.Mashup.OleDb.1;Data Source=$Workbook$;Location=QuerySpecificationAll;Extended Properties=&quot;&quot;" command="SELECT * FROM [QuerySpecificationAll]"/>
  </connection>
  <connection id="5" xr16:uid="{2741444D-E04D-4683-88B9-E459F627496A}" keepAlive="1" name="Запрос — QuerySpecificationCustomer" description="Соединение с запросом &quot;QuerySpecificationCustomer&quot; в книге." type="5" refreshedVersion="0" background="1">
    <dbPr connection="Provider=Microsoft.Mashup.OleDb.1;Data Source=$Workbook$;Location=QuerySpecificationCustomer;Extended Properties=&quot;&quot;" command="SELECT * FROM [QuerySpecificationCustomer]"/>
  </connection>
  <connection id="6" xr16:uid="{6340247C-E97B-455C-886D-5C43F209A6E2}" keepAlive="1" name="Запрос — QuerySpecResultImage" description="Соединение с запросом &quot;QuerySpecResultImage&quot; в книге." type="5" refreshedVersion="8" background="1" saveData="1">
    <dbPr connection="Provider=Microsoft.Mashup.OleDb.1;Data Source=$Workbook$;Location=QuerySpecResultImage;Extended Properties=&quot;&quot;" command="SELECT * FROM [QuerySpecResultImage]"/>
  </connection>
  <connection id="7" xr16:uid="{C548DDD9-B2F0-473A-9B15-375E983D5436}" keepAlive="1" name="Запрос — QuerySpecResultNoImage" description="Соединение с запросом &quot;QuerySpecResultNoImage&quot; в книге." type="5" refreshedVersion="8" background="1" saveData="1">
    <dbPr connection="Provider=Microsoft.Mashup.OleDb.1;Data Source=$Workbook$;Location=QuerySpecResultNoImage;Extended Properties=&quot;&quot;" command="SELECT * FROM [QuerySpecResultNoImage]"/>
  </connection>
  <connection id="8" xr16:uid="{736D1996-99FA-4762-BD40-80FAA97AE84A}" keepAlive="1" name="Запрос — sourceTable_TabSupplier" description="Соединение с запросом &quot;sourceTable_TabSupplier&quot; в книге." type="5" refreshedVersion="0" background="1">
    <dbPr connection="Provider=Microsoft.Mashup.OleDb.1;Data Source=$Workbook$;Location=sourceTable_TabSupplier;Extended Properties=&quot;&quot;" command="SELECT * FROM [sourceTable_TabSupplier]"/>
  </connection>
  <connection id="9" xr16:uid="{13FDAF17-54BC-4BEB-8BFF-EA2A30EE6D30}" keepAlive="1" name="Запрос — sourceTable_TabUnits" description="Соединение с запросом &quot;sourceTable_TabUnits&quot; в книге." type="5" refreshedVersion="0" background="1">
    <dbPr connection="Provider=Microsoft.Mashup.OleDb.1;Data Source=$Workbook$;Location=sourceTable_TabUnits;Extended Properties=&quot;&quot;" command="SELECT * FROM [sourceTable_TabUnits]"/>
  </connection>
  <connection id="10" xr16:uid="{1C5FBF08-994A-478A-BE3A-7E1B786BD77B}" keepAlive="1" name="Запрос — sourceTable_TabVendorAndBrand" description="Соединение с запросом &quot;sourceTable_TabVendorAndBrand&quot; в книге." type="5" refreshedVersion="0" background="1">
    <dbPr connection="Provider=Microsoft.Mashup.OleDb.1;Data Source=$Workbook$;Location=sourceTable_TabVendorAndBrand;Extended Properties=&quot;&quot;" command="SELECT * FROM [sourceTable_TabVendorAndBrand]"/>
  </connection>
  <connection id="11" xr16:uid="{DDCBBFA1-012D-4593-B142-68D51136670D}" keepAlive="1" name="Запрос — sourceWorkbook_TabSupplier" description="Соединение с запросом &quot;sourceWorkbook_TabSupplier&quot; в книге." type="5" refreshedVersion="0" background="1">
    <dbPr connection="Provider=Microsoft.Mashup.OleDb.1;Data Source=$Workbook$;Location=sourceWorkbook_TabSupplier;Extended Properties=&quot;&quot;" command="SELECT * FROM [sourceWorkbook_TabSupplier]"/>
  </connection>
  <connection id="12" xr16:uid="{9C9D1777-8AB3-49D1-B91B-7ED6DDFF38FD}" keepAlive="1" name="Запрос — sourceWorkbook_TabUnits" description="Соединение с запросом &quot;sourceWorkbook_TabUnits&quot; в книге." type="5" refreshedVersion="0" background="1">
    <dbPr connection="Provider=Microsoft.Mashup.OleDb.1;Data Source=$Workbook$;Location=sourceWorkbook_TabUnits;Extended Properties=&quot;&quot;" command="SELECT * FROM [sourceWorkbook_TabUnits]"/>
  </connection>
  <connection id="13" xr16:uid="{4CA7541F-E772-4172-B250-57B573F93EF5}" keepAlive="1" name="Запрос — sourceWorkbook_TabVendorAndBrand" description="Соединение с запросом &quot;sourceWorkbook_TabVendorAndBrand&quot; в книге." type="5" refreshedVersion="0" background="1">
    <dbPr connection="Provider=Microsoft.Mashup.OleDb.1;Data Source=$Workbook$;Location=sourceWorkbook_TabVendorAndBrand;Extended Properties=&quot;&quot;" command="SELECT * FROM [sourceWorkbook_TabVendorAndBrand]"/>
  </connection>
  <connection id="14" xr16:uid="{2126B25D-49A9-4776-99AC-720EC37D8272}" keepAlive="1" name="Запрос — Supplier" description="Соединение с запросом &quot;Supplier&quot; в книге." type="5" refreshedVersion="8" background="1" saveData="1">
    <dbPr connection="Provider=Microsoft.Mashup.OleDb.1;Data Source=$Workbook$;Location=Supplier;Extended Properties=&quot;&quot;" command="SELECT * FROM [Supplier]"/>
  </connection>
  <connection id="15" xr16:uid="{A20A72FE-E234-4DBA-AD39-5972712C501B}" keepAlive="1" name="Запрос — Units" description="Соединение с запросом &quot;Units&quot; в книге." type="5" refreshedVersion="8" background="1" saveData="1">
    <dbPr connection="Provider=Microsoft.Mashup.OleDb.1;Data Source=$Workbook$;Location=Units;Extended Properties=&quot;&quot;" command="SELECT * FROM [Units]"/>
  </connection>
  <connection id="16" xr16:uid="{DA9C19A5-6730-4F08-BC51-E49C30A9C8BE}" keepAlive="1" name="Запрос — VendorAndBrand" description="Соединение с запросом &quot;VendorAndBrand&quot; в книге." type="5" refreshedVersion="8" background="1" saveData="1">
    <dbPr connection="Provider=Microsoft.Mashup.OleDb.1;Data Source=$Workbook$;Location=VendorAndBrand;Extended Properties=&quot;&quot;" command="SELECT * FROM [VendorAndBrand]"/>
  </connection>
</connections>
</file>

<file path=xl/sharedStrings.xml><?xml version="1.0" encoding="utf-8"?>
<sst xmlns="http://schemas.openxmlformats.org/spreadsheetml/2006/main" count="246" uniqueCount="207">
  <si>
    <t>№ п/п</t>
  </si>
  <si>
    <t>№ ИСХ</t>
  </si>
  <si>
    <t>№ КОМПЛЕКТА</t>
  </si>
  <si>
    <t>№ ПОРЯДКОВЫЙ В КОМПЛЕКТЕ</t>
  </si>
  <si>
    <t>№ ПОЛНЫЙ</t>
  </si>
  <si>
    <t>ОПИСАНИЕ КОМПЛЕКТА</t>
  </si>
  <si>
    <t>НАИМЕНОВАНИЕ</t>
  </si>
  <si>
    <t>ОПИСАНИЕ/ХАРАКТЕРИСТИКИ</t>
  </si>
  <si>
    <t>On-Off</t>
  </si>
  <si>
    <t>ПОСТАВЩИК</t>
  </si>
  <si>
    <t>АРТИКУЛ ПОСТАВЩИК</t>
  </si>
  <si>
    <t>АРТИКУЛ МАС</t>
  </si>
  <si>
    <t>ЕД ИЗМ</t>
  </si>
  <si>
    <t>КОЛИЧЕСТВО В КОМПЛЕКТЕ</t>
  </si>
  <si>
    <t>КОМПЛЕКТОВ В ПОСТАВКЕ</t>
  </si>
  <si>
    <t>КОЛИЧЕСТВО ИТОГО</t>
  </si>
  <si>
    <t>КОЛИЧЕСТВО У ПОСТАВ-КА</t>
  </si>
  <si>
    <t>ЦЕНА ЗА ЕД. $ЗАКУП</t>
  </si>
  <si>
    <t>СЕБЕСТОИМОСТЬ $ЗАКУП</t>
  </si>
  <si>
    <t>КОЭФФ ПРОПОРЦИО-ТИ</t>
  </si>
  <si>
    <t>КОЭФФИЦИЕНТ НАЦЕНКИ</t>
  </si>
  <si>
    <t>ЦЕНА ЗА ЕД. $РЕАЛИЗАЦИЯ</t>
  </si>
  <si>
    <t>СТОИМОСТЬ $РЕАЛИЗАЦИЯ</t>
  </si>
  <si>
    <t>ЦЕНА ЗА ЕД. $ИТОГ</t>
  </si>
  <si>
    <t>СТОИМОСТЬ $ИТОГ</t>
  </si>
  <si>
    <t>ТРЕБОВАНИЯ ИСХОДНЫЕ</t>
  </si>
  <si>
    <t>ПРИМЕЧАНИЕ</t>
  </si>
  <si>
    <t>ССЫЛКА</t>
  </si>
  <si>
    <t>ИЗОБРАЖЕНИЕ ТМЦ</t>
  </si>
  <si>
    <t>on</t>
  </si>
  <si>
    <t>Gigabyte</t>
  </si>
  <si>
    <t>Киберкуб</t>
  </si>
  <si>
    <t>noname</t>
  </si>
  <si>
    <t>шт</t>
  </si>
  <si>
    <t xml:space="preserve">Комплект активного сетевого оборудования </t>
  </si>
  <si>
    <t>Коммутатор OS3228</t>
  </si>
  <si>
    <t>ORIGO</t>
  </si>
  <si>
    <t>OCS</t>
  </si>
  <si>
    <t>1000714105</t>
  </si>
  <si>
    <t>Коммутаторы полевого уровня, обслуживающие датчики измерительной  установки 1D, 2D и др.
P/N: OS3228/A1A</t>
  </si>
  <si>
    <t>https://origo-networks.ru/products/1/16.html</t>
  </si>
  <si>
    <t>Коммутатор Huawei S6730-H48X6C</t>
  </si>
  <si>
    <t>Управляемый L3 коммутатор
48 10GBase-X SFP+ портов
6 40/100GBase-X QSFP28 портов
L2 функционал
Поддержка стекирования: Да
Количество VLAN: 4096
Размер таблицы MAC адресов: 384000
Протоколы L2 резервирования: SEP; ERPS; MSTP; RSTP; STP
Multicast IGMP: v1/v2/v3, PIM-SM, PIM-DM и PIM-SSM
QoS WRED
L3 функционал
Размер таблицы маршрутизации: 256000
Протоколы маршрутизации: Static route; PIM; IS-IS; BGP; OSPF; RIP
Поддержка MPLS: Да
Питание
Напряжение питания: 100-240 VAC
Мощность блоков питания: 600W
Количество блоков питания: 2 шт
Максимальная потребляемая мощность: 274 Вт
Размеры (Ш × Г × В): 442 х 420 х 43,6 мм
Вес: 7.5 кг</t>
  </si>
  <si>
    <t>Huawei</t>
  </si>
  <si>
    <t>НАГ</t>
  </si>
  <si>
    <t>S6730-H48X6C</t>
  </si>
  <si>
    <t>Коммутатор уровня ядра. Задача агрегация всего трафика окак от полевого уровня так и от точек взаимодействия с коммутатционном оборудовании заказчика.
Код товара: 41037</t>
  </si>
  <si>
    <t>https://shop.nag.ru/catalog/00001.kommutatory/40213.fiksirovannye-kommutatory/41037.s6730-h48x6c#description</t>
  </si>
  <si>
    <t>Сетевая карта LR-Link OCP 3.0 2 порта 100G QSFP28 LRES3026PF-OCP</t>
  </si>
  <si>
    <t>Сетевая карта
Количество портов: 2
Чипсет: Intel E810
Поддержка Bypass: нет
Поддерживаемый тип интерфейсов сетевой карты: интерфейсы 100G Base QSFP28
Тип устройства: сетевой адаптер
Тип интерфейсов: 100GBase-X QSFP28
Среда передачи данных: оптика
Скорость интерфейса: 100Gb
Форм-фактор: OCP 3.0</t>
  </si>
  <si>
    <t>LR-Link</t>
  </si>
  <si>
    <t>LRES3026PF-OCP</t>
  </si>
  <si>
    <t>Серверная сетевая карта, количество интерфейсов - 2,  скорость модулей - 100Gb. Предназначена для установки во все сервера ПТК, проектом предполагается задействовать оба интерфейса.</t>
  </si>
  <si>
    <t>https://shop.nag.ru/catalog/31464.komplektuyuschie-dlya-serverov-i-shd/02273.setevye-karty/54607.lres3026pf-ocp#description</t>
  </si>
  <si>
    <t>Комплект пассивного сетевого оборудования  и межбложной коммутации</t>
  </si>
  <si>
    <t>Модуль 100G QSFP28 AOC, дальность до 3м</t>
  </si>
  <si>
    <t>Тип модуля: AOC
Скорость модуля: 100Gbps
Тип оптического волокна: MMF
Длина волны Tx, нм: 850
Форм-фактор модуля: модули QSFP28
Максимальное расстояние, км: 0,003</t>
  </si>
  <si>
    <t>SNR</t>
  </si>
  <si>
    <t>SNR-QSFP28-AOC-3</t>
  </si>
  <si>
    <t>Активный патч корд для соединения серверов ПТК и ядрового коммутатора. Скорость соединения 100Gb.
Один патч-корд резервный, в работе предполагается 6 шт.
Код товара: 19411</t>
  </si>
  <si>
    <t>https://shop.nag.ru/catalog/01889.sfp-gbic-xfp-sfp-x2-xenpak-qsfp-cfp-moduli/19227.moduli-qsfp28/19411.snr-qsfp28-aoc-3#description</t>
  </si>
  <si>
    <t>Модуль SFP LX 20км (14dB)</t>
  </si>
  <si>
    <t>Тип модуля: двухволоконный
Скорость модуля: 1Gbps
Тип оптического волокна: SMF
Длина волны Tx, нм: 1310
Длина волны Rx, нм: 1310
Оптический бюджет, дБ: 14
Мощность излучения, дБм: от -8 до -3
Чувствительность приемника, дБм: -22
Максимально допустимый уровень, дБм: -3
Форм-фактор модуля: модули SFP
Тип коннектора модуля: LC
Максимальное расстояние, км: 20
Расстояние передачи (диапазон), км: 10-20</t>
  </si>
  <si>
    <t>SNR-SFP-LX-20</t>
  </si>
  <si>
    <t>Модуль SFP с скоростью передачи 1Gb, тип оптики одномод. Предназначен для подключения вспомагательного оборудования от заказчика.
Код товара: 00537</t>
  </si>
  <si>
    <t>https://shop.nag.ru/catalog/01889.sfp-gbic-xfp-sfp-x2-xenpak-qsfp-cfp-moduli/02086.moduli-sfp/00537.snr-sfp-lx-20#description</t>
  </si>
  <si>
    <t>Модуль SFP с интерфейсом RJ45, до 100м</t>
  </si>
  <si>
    <t>SNR-SFP-T</t>
  </si>
  <si>
    <t>Модуль SFP с скоростью передачи 1Gb, тип интерфейса RG45. Предназначен для подключения вспомагательного оборудования такого как ИБП, операторские рабочие места и оборудования от заказчика.
Код товара: 02132</t>
  </si>
  <si>
    <t>https://shop.nag.ru/catalog/01889.sfp-gbic-xfp-sfp-x2-xenpak-qsfp-cfp-moduli/02086.moduli-sfp/02132.snr-sfp-t</t>
  </si>
  <si>
    <t>Модуль SFP+ оптический, дальность до 2км (9dB), 1310нм</t>
  </si>
  <si>
    <t>Тип модуля: двухволоконный
Скорость модуля: 10Gbps
Тип оптического волокна: SMF
Длина волны Tx, нм: 1310
Длина волны Rx, нм: 1310
Оптический бюджет, дБ: 9
Мощность излучения, дБм: -5
Чувствительность приемника, дБм: -14
Максимально допустимый уровень, дБм: 0,5
Форм-фактор модуля: модули SFP+
Тип коннектора модуля: LC
Максимальное расстояние, км: 2
Расстояние передачи (диапазон): км
Расстояние передачи (диапазон) км: 1-10</t>
  </si>
  <si>
    <t>SNR-SFP+LR-2</t>
  </si>
  <si>
    <t>Модуль SFP+ с скоростью передачи 10Gb, тип оптики одномод. Предназначен для подключения коммутаторов полевого уровня Origo.
Два модуля резервные, в работе предполагается 24 шт. Расчет следующий: 3 коммутатора Origo по 4 порта 10Gb т.е. 12 шт, а также на прнимающей сторон коммутатора Huawei также 12 шт, итоге 24 шт.
Код товара: 02132</t>
  </si>
  <si>
    <t>https://shop.nag.ru/catalog/01891.moduli-sfp/07576.snr-sfplr-2#description</t>
  </si>
  <si>
    <t>BRAND</t>
  </si>
  <si>
    <t>COMPANY_LABEL</t>
  </si>
  <si>
    <t>UNITS</t>
  </si>
  <si>
    <t>Амперка</t>
  </si>
  <si>
    <t>РоботБаза</t>
  </si>
  <si>
    <t>кп</t>
  </si>
  <si>
    <t>Знаток</t>
  </si>
  <si>
    <t>ОЗОН</t>
  </si>
  <si>
    <t>Pitsco</t>
  </si>
  <si>
    <t>Iarduino</t>
  </si>
  <si>
    <t>Arduino</t>
  </si>
  <si>
    <t>LiitoKala</t>
  </si>
  <si>
    <t>Feetech</t>
  </si>
  <si>
    <t>Амперкот</t>
  </si>
  <si>
    <t>61mcu</t>
  </si>
  <si>
    <t>Supereyes</t>
  </si>
  <si>
    <t>DFRobot</t>
  </si>
  <si>
    <t>Platan</t>
  </si>
  <si>
    <t>Yahboom</t>
  </si>
  <si>
    <t>Robotclass</t>
  </si>
  <si>
    <t>Hipe</t>
  </si>
  <si>
    <t>Вольтмастер</t>
  </si>
  <si>
    <t>Fixfly</t>
  </si>
  <si>
    <t>ХоббиРу</t>
  </si>
  <si>
    <t>Sharp</t>
  </si>
  <si>
    <t>МИНИБОТ</t>
  </si>
  <si>
    <t>МАСОР</t>
  </si>
  <si>
    <t>Паркфлаер</t>
  </si>
  <si>
    <t>МЭЛТ</t>
  </si>
  <si>
    <t>Kingbright</t>
  </si>
  <si>
    <t>RC-TODAY.RU</t>
  </si>
  <si>
    <t xml:space="preserve">Texas Instruments </t>
  </si>
  <si>
    <t>PLUS3</t>
  </si>
  <si>
    <t>Philips</t>
  </si>
  <si>
    <t>IP-mania</t>
  </si>
  <si>
    <t>Epcos</t>
  </si>
  <si>
    <t>X-models</t>
  </si>
  <si>
    <t>WeMos</t>
  </si>
  <si>
    <t>RcDrive</t>
  </si>
  <si>
    <t>LG</t>
  </si>
  <si>
    <t>RC-GO.RU</t>
  </si>
  <si>
    <t>FlySky</t>
  </si>
  <si>
    <t>Air-hobby.ru</t>
  </si>
  <si>
    <t>Nanopix</t>
  </si>
  <si>
    <t>RCcopter.ru</t>
  </si>
  <si>
    <t xml:space="preserve">Racerstar </t>
  </si>
  <si>
    <t>MyDrone</t>
  </si>
  <si>
    <t>DJI</t>
  </si>
  <si>
    <t>CompactTool</t>
  </si>
  <si>
    <t>AKK Technology</t>
  </si>
  <si>
    <t>RoboShop</t>
  </si>
  <si>
    <t>Eachine</t>
  </si>
  <si>
    <t>Duino</t>
  </si>
  <si>
    <t>Happymodel</t>
  </si>
  <si>
    <t>Умные модули</t>
  </si>
  <si>
    <t>BETAFPV</t>
  </si>
  <si>
    <t>Город карт</t>
  </si>
  <si>
    <t>HQProp</t>
  </si>
  <si>
    <t>Robot-kit</t>
  </si>
  <si>
    <t>Gaoneng</t>
  </si>
  <si>
    <t>Dinogy</t>
  </si>
  <si>
    <t>18650pro.ru</t>
  </si>
  <si>
    <t>Bringsmart</t>
  </si>
  <si>
    <t>SkyRC</t>
  </si>
  <si>
    <t>ДНС</t>
  </si>
  <si>
    <t>Hyperline</t>
  </si>
  <si>
    <t>Ситилинк</t>
  </si>
  <si>
    <t xml:space="preserve">Waveshare </t>
  </si>
  <si>
    <t>Raspberry PI</t>
  </si>
  <si>
    <t>OnPad</t>
  </si>
  <si>
    <t>ClimateGuard</t>
  </si>
  <si>
    <t>МАС</t>
  </si>
  <si>
    <t>Sciosense</t>
  </si>
  <si>
    <t>Альбитех</t>
  </si>
  <si>
    <t>Samsung</t>
  </si>
  <si>
    <t>Чип и Дип</t>
  </si>
  <si>
    <t>Элком+</t>
  </si>
  <si>
    <t>Parts Direct</t>
  </si>
  <si>
    <t>NSGate</t>
  </si>
  <si>
    <t>Kingston</t>
  </si>
  <si>
    <t>SanDisk</t>
  </si>
  <si>
    <t>DIATONE INNOVATIONS</t>
  </si>
  <si>
    <t>BrotherHobby</t>
  </si>
  <si>
    <t>HAKRC</t>
  </si>
  <si>
    <t>DM-RC</t>
  </si>
  <si>
    <t>Readytosky</t>
  </si>
  <si>
    <t>AirParts</t>
  </si>
  <si>
    <t>RadioMaster</t>
  </si>
  <si>
    <t xml:space="preserve">	Rush</t>
  </si>
  <si>
    <t>TBS</t>
  </si>
  <si>
    <t>Radiomaster</t>
  </si>
  <si>
    <t>Foxeer</t>
  </si>
  <si>
    <t>GepRC</t>
  </si>
  <si>
    <t>SpeedyBee</t>
  </si>
  <si>
    <t>Caddx</t>
  </si>
  <si>
    <t>Flywoo</t>
  </si>
  <si>
    <t>Gemfan</t>
  </si>
  <si>
    <t>Xiaomi</t>
  </si>
  <si>
    <t>Горизонт</t>
  </si>
  <si>
    <t>ISA</t>
  </si>
  <si>
    <t>STMicroelectronics</t>
  </si>
  <si>
    <t>Hiper</t>
  </si>
  <si>
    <t xml:space="preserve">Orange </t>
  </si>
  <si>
    <t>Hoco</t>
  </si>
  <si>
    <t>ОКЛИК</t>
  </si>
  <si>
    <t>Baseus</t>
  </si>
  <si>
    <t>Тип модуля: 1000 Base-T
Скорость модуля: 1Gbps
Форм-фактор модуля: модули SFP
Тип коннектора модуля: RJ45
Диапазон рабочих температур, °C: от -5 до 70
Максимальное расстояние, км: 0,1</t>
  </si>
  <si>
    <t>MikroTik</t>
  </si>
  <si>
    <t>Яндекс</t>
  </si>
  <si>
    <t>Sonoff</t>
  </si>
  <si>
    <t>D-Link</t>
  </si>
  <si>
    <t>Aqara</t>
  </si>
  <si>
    <t>Spruthub</t>
  </si>
  <si>
    <t>Tfortis</t>
  </si>
  <si>
    <t>Cabeus</t>
  </si>
  <si>
    <t>Lanmaster</t>
  </si>
  <si>
    <t>NIKOMAX</t>
  </si>
  <si>
    <t>ОнЛайн Трейд</t>
  </si>
  <si>
    <t>ЛУИС+ Самара</t>
  </si>
  <si>
    <t>ДССЛ</t>
  </si>
  <si>
    <t>IDnum</t>
  </si>
  <si>
    <t>IDconfig</t>
  </si>
  <si>
    <t>CONFIG_JSON</t>
  </si>
  <si>
    <t>COMMENT</t>
  </si>
  <si>
    <t>TABLE_NAME</t>
  </si>
  <si>
    <t>СOLUMNS_NAME</t>
  </si>
  <si>
    <t>СOLUMN_DESCRIPTIONS</t>
  </si>
  <si>
    <t>ПРИЗНАК ПОСТ ОБРАБОТКИ</t>
  </si>
  <si>
    <t>none</t>
  </si>
  <si>
    <t>IDsupplier</t>
  </si>
  <si>
    <t>IDvendor</t>
  </si>
  <si>
    <t>Управляемый L3 коммутатор
Количество гигабитных портов RJ-45: 24
Количество портов 10G SFP+: 4
Динамическая маршрутизация RIP, OSPF, BGP
Статическая маршрутизация:
802.1Q VLAN, Selective Q-in-Q, Multicast VLAN
Аутентификация 802.1X, ACL, Port Security
Широкий набор функций QoS для приоритизации трафика
IGMP/MLD Snooping для работы с multicast-трафиком
ERPS, STP/RSTP/MSTP, LoopBack Detection для отказоустойчивости
Администрирование через Web-интерфейс, Telnet, SSH, Console, SNMP
Питание
Напряжение питания: 100-240 VAC
Мощность блоков питания: 
Количество блоков питания: 1 шт
Размеры (Д x Ш x В): 441 x 207 x 44 мм
Вес: 2,74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</si>
</sst>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0000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6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top" wrapText="1"/>
    </xf>
    <xf numFmtId="49" fontId="0" fillId="0" borderId="1" xfId="0" applyNumberForma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/>
    <xf numFmtId="4" fontId="0" fillId="0" borderId="1" xfId="0" applyNumberFormat="1" applyBorder="1" applyAlignment="1">
      <alignment horizontal="right" vertical="top" wrapText="1"/>
    </xf>
    <xf numFmtId="2" fontId="0" fillId="0" borderId="1" xfId="0" applyNumberFormat="1" applyBorder="1" applyAlignment="1">
      <alignment horizontal="right" vertical="top" wrapText="1"/>
    </xf>
    <xf numFmtId="49" fontId="0" fillId="0" borderId="1" xfId="0" applyNumberFormat="1" applyBorder="1" applyAlignment="1">
      <alignment horizontal="right" vertical="top" wrapText="1"/>
    </xf>
    <xf numFmtId="0" fontId="0" fillId="0" borderId="1" xfId="0" applyBorder="1" applyAlignment="1">
      <alignment horizontal="right" vertical="top" wrapText="1"/>
    </xf>
    <xf numFmtId="49" fontId="0" fillId="0" borderId="1" xfId="0" applyNumberFormat="1" applyBorder="1" applyAlignment="1">
      <alignment horizontal="left" vertical="top" wrapText="1"/>
    </xf>
    <xf numFmtId="49" fontId="9" fillId="0" borderId="1" xfId="3" applyNumberFormat="1" applyBorder="1" applyAlignment="1">
      <alignment horizontal="left" vertical="top" wrapText="1"/>
    </xf>
    <xf numFmtId="0" fontId="8" fillId="0" borderId="1" xfId="0" applyFont="1" applyBorder="1" applyAlignment="1">
      <alignment horizontal="center" vertical="top" wrapText="1"/>
    </xf>
    <xf numFmtId="49" fontId="8" fillId="0" borderId="1" xfId="0" applyNumberFormat="1" applyFont="1" applyBorder="1" applyAlignment="1">
      <alignment horizontal="center" vertical="top" wrapText="1"/>
    </xf>
    <xf numFmtId="49" fontId="8" fillId="0" borderId="1" xfId="0" applyNumberFormat="1" applyFont="1" applyBorder="1" applyAlignment="1">
      <alignment horizontal="left" vertical="top" wrapText="1" indent="1"/>
    </xf>
    <xf numFmtId="49" fontId="8" fillId="0" borderId="2" xfId="0" applyNumberFormat="1" applyFont="1" applyBorder="1" applyAlignment="1">
      <alignment horizontal="center" vertical="top" wrapText="1"/>
    </xf>
    <xf numFmtId="43" fontId="0" fillId="0" borderId="1" xfId="1" applyFont="1" applyBorder="1" applyAlignment="1">
      <alignment horizontal="left" vertical="top" wrapText="1"/>
    </xf>
    <xf numFmtId="0" fontId="0" fillId="0" borderId="0" xfId="0" applyAlignment="1">
      <alignment horizontal="left" vertical="center"/>
    </xf>
    <xf numFmtId="164" fontId="0" fillId="0" borderId="1" xfId="0" applyNumberFormat="1" applyBorder="1" applyAlignment="1">
      <alignment horizontal="right" vertical="top" wrapText="1"/>
    </xf>
    <xf numFmtId="49" fontId="4" fillId="0" borderId="1" xfId="0" applyNumberFormat="1" applyFont="1" applyBorder="1" applyAlignment="1">
      <alignment vertical="top" wrapText="1"/>
    </xf>
    <xf numFmtId="49" fontId="4" fillId="0" borderId="1" xfId="0" applyNumberFormat="1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vertical="top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top" wrapText="1"/>
    </xf>
    <xf numFmtId="49" fontId="0" fillId="0" borderId="3" xfId="0" applyNumberFormat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49" fontId="1" fillId="0" borderId="1" xfId="0" applyNumberFormat="1" applyFont="1" applyBorder="1" applyAlignment="1">
      <alignment vertical="top" wrapText="1"/>
    </xf>
  </cellXfs>
  <cellStyles count="4">
    <cellStyle name="Hyperlink" xfId="2" xr:uid="{5E131314-CB4A-4861-A483-75FD13BF36EC}"/>
    <cellStyle name="Гиперссылка" xfId="3" builtinId="8"/>
    <cellStyle name="Обычный" xfId="0" builtinId="0"/>
    <cellStyle name="Финансовый" xfId="1" builtinId="3"/>
  </cellStyles>
  <dxfs count="73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righ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</dxf>
    <dxf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</dxf>
    <dxf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</dxf>
    <dxf>
      <numFmt numFmtId="30" formatCode="@"/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1" indent="0" justifyLastLine="0" shrinkToFit="0" readingOrder="0"/>
    </dxf>
    <dxf>
      <numFmt numFmtId="4" formatCode="#,##0.00"/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</dxf>
    <dxf>
      <numFmt numFmtId="4" formatCode="#,##0.00"/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1" indent="0" justifyLastLine="0" shrinkToFit="0" readingOrder="0"/>
    </dxf>
    <dxf>
      <numFmt numFmtId="4" formatCode="#,##0.00"/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</dxf>
    <dxf>
      <numFmt numFmtId="4" formatCode="#,##0.00"/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alignment horizontal="general" vertical="bottom" textRotation="0" wrapText="1" indent="0" justifyLastLine="0" shrinkToFit="0" readingOrder="0"/>
    </dxf>
    <dxf>
      <numFmt numFmtId="164" formatCode="0.0000000"/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numFmt numFmtId="2" formatCode="0.00"/>
      <alignment horizontal="righ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</dxf>
    <dxf>
      <numFmt numFmtId="4" formatCode="#,##0.00"/>
      <alignment horizontal="righ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general" vertical="bottom" textRotation="0" wrapText="1" indent="0" justifyLastLine="0" shrinkToFit="0" readingOrder="0"/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</dxf>
    <dxf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</dxf>
    <dxf>
      <numFmt numFmtId="0" formatCode="General"/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</dxf>
    <dxf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</dxf>
    <dxf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</dxf>
    <dxf>
      <numFmt numFmtId="0" formatCode="General"/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</dxf>
    <dxf>
      <numFmt numFmtId="30" formatCode="@"/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general" vertical="bottom" textRotation="0" wrapText="1" indent="0" justifyLastLine="0" shrinkToFit="0" readingOrder="0"/>
    </dxf>
    <dxf>
      <numFmt numFmtId="0" formatCode="General"/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</dxf>
    <dxf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</dxf>
    <dxf>
      <numFmt numFmtId="30" formatCode="@"/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</dxf>
    <dxf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</dxf>
    <dxf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</dxf>
    <dxf>
      <numFmt numFmtId="30" formatCode="@"/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</dxf>
    <dxf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Иван Кукушкин" id="{A62AC10A-664A-493D-807B-E3F97E46AB32}" userId="3a809852355ebf2e" providerId="Windows Liv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6" xr16:uid="{60D5FFE8-9DF5-4E3F-93C9-32E301841024}" autoFormatId="16" applyNumberFormats="0" applyBorderFormats="0" applyFontFormats="0" applyPatternFormats="0" applyAlignmentFormats="0" applyWidthHeightFormats="0">
  <queryTableRefresh nextId="5">
    <queryTableFields count="2">
      <queryTableField id="3" name="IDvendor" tableColumnId="1"/>
      <queryTableField id="2" name="BRAND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4" xr16:uid="{302B4C3E-07CB-4412-9EF6-D2AA7CD34EB3}" autoFormatId="16" applyNumberFormats="0" applyBorderFormats="0" applyFontFormats="0" applyPatternFormats="0" applyAlignmentFormats="0" applyWidthHeightFormats="0">
  <queryTableRefresh nextId="5">
    <queryTableFields count="2">
      <queryTableField id="3" name="IDsupplier" tableColumnId="1"/>
      <queryTableField id="2" name="COMPANY_LABEL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5" xr16:uid="{A2DB3D96-6A35-4AC1-8293-B2D3AFB00885}" autoFormatId="16" applyNumberFormats="0" applyBorderFormats="0" applyFontFormats="0" applyPatternFormats="0" applyAlignmentFormats="0" applyWidthHeightFormats="0">
  <queryTableRefresh nextId="5">
    <queryTableFields count="2">
      <queryTableField id="3" name="IDnum" tableColumnId="1"/>
      <queryTableField id="2" name="UNITS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6CC8564-C082-45D5-A12C-D27DF567A3FE}" name="TabSpecificationWork" displayName="TabSpecificationWork" ref="A1:AD8" headerRowDxfId="72" dataDxfId="71">
  <autoFilter ref="A1:AD8" xr:uid="{96CC8564-C082-45D5-A12C-D27DF567A3FE}"/>
  <sortState xmlns:xlrd2="http://schemas.microsoft.com/office/spreadsheetml/2017/richdata2" ref="A2:AD5">
    <sortCondition ref="A1:A5"/>
  </sortState>
  <tableColumns count="30">
    <tableColumn id="1" xr3:uid="{3C0F6EBF-BF3B-448E-A509-23E8475131F8}" name="№ п/п" totalsRowLabel="Итог" dataDxfId="70" totalsRowDxfId="69"/>
    <tableColumn id="2" xr3:uid="{0C6B2CF3-C438-47F6-9831-06CE2EF8D1FF}" name="№ ИСХ" dataDxfId="68" totalsRowDxfId="67"/>
    <tableColumn id="3" xr3:uid="{C09A2F0B-AE19-48FF-9473-DC789B8D58F3}" name="№ КОМПЛЕКТА" dataDxfId="66" totalsRowDxfId="65"/>
    <tableColumn id="4" xr3:uid="{682D79C0-1893-4541-8C43-21F87938C3CC}" name="№ ПОРЯДКОВЫЙ В КОМПЛЕКТЕ" dataDxfId="64" totalsRowDxfId="63"/>
    <tableColumn id="5" xr3:uid="{E1B7B4DD-EF42-443B-B39B-BE62E29D0108}" name="№ ПОЛНЫЙ" dataDxfId="62" totalsRowDxfId="61">
      <calculatedColumnFormula>TabSpecificationWork[[#This Row],[№ КОМПЛЕКТА]] &amp; "." &amp; TabSpecificationWork[[#This Row],[№ ПОРЯДКОВЫЙ В КОМПЛЕКТЕ]]</calculatedColumnFormula>
    </tableColumn>
    <tableColumn id="6" xr3:uid="{45F7CE3F-449D-460C-A5B7-0AEE91924D25}" name="ОПИСАНИЕ КОМПЛЕКТА" dataDxfId="60" totalsRowDxfId="59"/>
    <tableColumn id="7" xr3:uid="{8F3C623E-E8A1-4A03-82DD-EDE16AF504FF}" name="НАИМЕНОВАНИЕ" dataDxfId="58" totalsRowDxfId="57"/>
    <tableColumn id="8" xr3:uid="{007F8717-0A07-48E0-A1EB-EAE6E572424A}" name="ОПИСАНИЕ/ХАРАКТЕРИСТИКИ" dataDxfId="56" totalsRowDxfId="55"/>
    <tableColumn id="9" xr3:uid="{8C0813ED-36A4-43E7-AAF6-F1FDA38367BC}" name="On-Off" dataDxfId="54" totalsRowDxfId="53"/>
    <tableColumn id="10" xr3:uid="{952E6978-CB3D-4347-AF28-0597AE730AA6}" name="ПРИЗНАК ПОСТ ОБРАБОТКИ" dataDxfId="52"/>
    <tableColumn id="11" xr3:uid="{8517C5C6-F784-4705-8190-245B5A55A021}" name="ПОСТАВЩИК" dataDxfId="51" totalsRowDxfId="50"/>
    <tableColumn id="12" xr3:uid="{355C2310-0BAB-4F45-849D-A3E72EDBF474}" name="АРТИКУЛ ПОСТАВЩИК" dataDxfId="49" totalsRowDxfId="48"/>
    <tableColumn id="13" xr3:uid="{DA2D9FEB-DBA5-4ABF-A4B3-FE69540B784B}" name="АРТИКУЛ МАС" dataDxfId="47" totalsRowDxfId="46"/>
    <tableColumn id="15" xr3:uid="{36B3F7BC-031D-4957-97DB-11542A696E35}" name="ЕД ИЗМ" dataDxfId="45" totalsRowDxfId="44"/>
    <tableColumn id="16" xr3:uid="{150CBF06-00C6-4806-8191-A4286EB093ED}" name="КОЛИЧЕСТВО В КОМПЛЕКТЕ" dataDxfId="43" totalsRowDxfId="42"/>
    <tableColumn id="17" xr3:uid="{13E5B512-5701-41EB-A201-0D252DB254A3}" name="КОМПЛЕКТОВ В ПОСТАВКЕ" dataDxfId="41" totalsRowDxfId="40"/>
    <tableColumn id="18" xr3:uid="{3720A801-BAAA-45D5-B24A-500112D1B996}" name="КОЛИЧЕСТВО ИТОГО" dataDxfId="39" totalsRowDxfId="38">
      <calculatedColumnFormula>TabSpecificationWork[[#This Row],[КОЛИЧЕСТВО В КОМПЛЕКТЕ]]*TabSpecificationWork[[#This Row],[КОМПЛЕКТОВ В ПОСТАВКЕ]]</calculatedColumnFormula>
    </tableColumn>
    <tableColumn id="19" xr3:uid="{715CE5CE-2BDF-46EA-B935-379C2289BCD3}" name="КОЛИЧЕСТВО У ПОСТАВ-КА" dataDxfId="37" totalsRowDxfId="36"/>
    <tableColumn id="20" xr3:uid="{32DA7A04-0981-4038-BB2D-6545CA3DBABE}" name="ЦЕНА ЗА ЕД. $ЗАКУП" dataDxfId="35" totalsRowDxfId="34" dataCellStyle="Финансовый"/>
    <tableColumn id="21" xr3:uid="{1FE1E287-5394-47DE-87AD-49C803C3C3E6}" name="СЕБЕСТОИМОСТЬ $ЗАКУП" totalsRowFunction="sum" dataDxfId="33" totalsRowDxfId="32">
      <calculatedColumnFormula>TabSpecificationWork[[#This Row],[КОЛИЧЕСТВО ИТОГО]]*TabSpecificationWork[[#This Row],[ЦЕНА ЗА ЕД. $ЗАКУП]]</calculatedColumnFormula>
    </tableColumn>
    <tableColumn id="22" xr3:uid="{969C7DD6-5245-459F-90AE-E3E60114A8A0}" name="КОЭФФ ПРОПОРЦИО-ТИ" dataDxfId="31" totalsRowDxfId="30"/>
    <tableColumn id="23" xr3:uid="{76646C46-B6CC-44DD-9090-8179808EA8D3}" name="КОЭФФИЦИЕНТ НАЦЕНКИ" dataDxfId="29" totalsRowDxfId="28"/>
    <tableColumn id="24" xr3:uid="{81B7606B-1F30-444A-93F5-5929D526AEAD}" name="ЦЕНА ЗА ЕД. $РЕАЛИЗАЦИЯ" dataDxfId="27" totalsRowDxfId="26">
      <calculatedColumnFormula>TabSpecificationWork[[#This Row],[ЦЕНА ЗА ЕД. $ЗАКУП]]*TabSpecificationWork[[#This Row],[КОЭФФ ПРОПОРЦИО-ТИ]]*TabSpecificationWork[[#This Row],[КОЭФФИЦИЕНТ НАЦЕНКИ]]</calculatedColumnFormula>
    </tableColumn>
    <tableColumn id="25" xr3:uid="{8FE6D3F9-0A66-456B-ABB8-B5BD18A8D852}" name="СТОИМОСТЬ $РЕАЛИЗАЦИЯ" dataDxfId="25" totalsRowDxfId="24">
      <calculatedColumnFormula>TabSpecificationWork[[#This Row],[КОЛИЧЕСТВО ИТОГО]]*TabSpecificationWork[[#This Row],[ЦЕНА ЗА ЕД. $РЕАЛИЗАЦИЯ]]</calculatedColumnFormula>
    </tableColumn>
    <tableColumn id="26" xr3:uid="{BAD42BB4-E47A-4099-BBB2-5920C2E27F1B}" name="ЦЕНА ЗА ЕД. $ИТОГ" dataDxfId="23" totalsRowDxfId="22">
      <calculatedColumnFormula>TabSpecificationWork[[#This Row],[ЦЕНА ЗА ЕД. $РЕАЛИЗАЦИЯ]]</calculatedColumnFormula>
    </tableColumn>
    <tableColumn id="27" xr3:uid="{840BF111-11DE-40E2-A09D-106A1A2A156F}" name="СТОИМОСТЬ $ИТОГ" dataDxfId="21" totalsRowDxfId="20">
      <calculatedColumnFormula>TabSpecificationWork[[#This Row],[СТОИМОСТЬ $РЕАЛИЗАЦИЯ]]</calculatedColumnFormula>
    </tableColumn>
    <tableColumn id="28" xr3:uid="{C45474BF-4ECB-4598-A723-8708B6A2C169}" name="ТРЕБОВАНИЯ ИСХОДНЫЕ" dataDxfId="19" totalsRowDxfId="18"/>
    <tableColumn id="29" xr3:uid="{687F4ACE-FABB-4583-93FE-53CAFC212834}" name="ПРИМЕЧАНИЕ" dataDxfId="17" totalsRowDxfId="16"/>
    <tableColumn id="30" xr3:uid="{F9F82BA5-7A50-4367-B992-5D940187C15F}" name="ССЫЛКА" dataDxfId="15" totalsRowDxfId="14"/>
    <tableColumn id="31" xr3:uid="{A23967F6-BEF1-4287-AAEA-EE4CBBA4C6E6}" name="ИЗОБРАЖЕНИЕ ТМЦ" totalsRowFunction="count" dataDxfId="13" totalsRow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D45808-17E0-452E-809E-699708D1821D}" name="VendorAndBrand" displayName="VendorAndBrand" ref="A1:B86" tableType="queryTable">
  <autoFilter ref="A1:B86" xr:uid="{87D45808-17E0-452E-809E-699708D1821D}"/>
  <tableColumns count="2">
    <tableColumn id="1" xr3:uid="{8A1B84B6-BF72-4C48-AF57-9B40A59C2637}" uniqueName="1" name="IDvendor" queryTableFieldId="3"/>
    <tableColumn id="2" xr3:uid="{CB824FC8-12CD-48F5-B559-D15189B1CDD0}" uniqueName="2" name="BRAND" queryTableFieldId="2" dataDxfId="11"/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ACB42A-9111-4F2F-BBA5-D81F2287B5A2}" name="Supplier" displayName="Supplier" ref="A1:B47" tableType="queryTable" headerRowDxfId="10">
  <autoFilter ref="A1:B47" xr:uid="{F1ACB42A-9111-4F2F-BBA5-D81F2287B5A2}"/>
  <tableColumns count="2">
    <tableColumn id="1" xr3:uid="{5CA1FF33-F46D-426F-9801-E6685ACAAE66}" uniqueName="1" name="IDsupplier" queryTableFieldId="3" dataDxfId="9"/>
    <tableColumn id="2" xr3:uid="{4D95E4E1-15F4-4E16-B1C3-2C1D8475312F}" uniqueName="2" name="COMPANY_LABEL" queryTableFieldId="2" dataDxfId="8"/>
  </tableColumns>
  <tableStyleInfo name="TableStyleMedium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CD2D75A-6FD1-4F35-AA0C-2B9A11B6A864}" name="Units" displayName="Units" ref="A1:B3" tableType="queryTable" headerRowDxfId="7">
  <autoFilter ref="A1:B3" xr:uid="{FCD2D75A-6FD1-4F35-AA0C-2B9A11B6A864}"/>
  <tableColumns count="2">
    <tableColumn id="1" xr3:uid="{2E2A440C-E6E5-48F7-85D2-8196F37BE4AF}" uniqueName="1" name="IDnum" queryTableFieldId="3" dataDxfId="6"/>
    <tableColumn id="2" xr3:uid="{183BF93B-E7B4-4910-A46A-2D7EB4E08AF8}" uniqueName="2" name="UNITS" queryTableFieldId="2" dataDxfId="5"/>
  </tableColumns>
  <tableStyleInfo name="TableStyleMedium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44354D-D393-4501-8B68-02F47AC669B4}" name="TabСolumnDescriptions" displayName="TabСolumnDescriptions" ref="A1:C2" totalsRowShown="0" headerRowDxfId="4">
  <autoFilter ref="A1:C2" xr:uid="{9344354D-D393-4501-8B68-02F47AC669B4}"/>
  <tableColumns count="3">
    <tableColumn id="1" xr3:uid="{5A2B1F93-0252-44C4-847A-5891F954EA45}" name="TABLE_NAME"/>
    <tableColumn id="2" xr3:uid="{4DC22F16-6819-4CC7-92A4-3E8F01499982}" name="СOLUMNS_NAME"/>
    <tableColumn id="3" xr3:uid="{EA927167-C7D1-4FE6-B88D-C6E556CA482B}" name="СOLUMN_DESCRIPTIONS"/>
  </tableColumns>
  <tableStyleInfo name="TableStyleMedium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A97E12-CA34-4183-80D4-9F3746A2B8FC}" name="TabConfigJSON" displayName="TabConfigJSON" ref="A1:D2" insertRow="1" totalsRowShown="0" headerRowDxfId="3">
  <autoFilter ref="A1:D2" xr:uid="{F4A97E12-CA34-4183-80D4-9F3746A2B8FC}"/>
  <tableColumns count="4">
    <tableColumn id="1" xr3:uid="{3CCCA0C6-6D37-4162-B732-1D22C5C52937}" name="IDnum"/>
    <tableColumn id="2" xr3:uid="{54040AB7-5959-4CCF-B3D0-8FC65A03676F}" name="IDconfig"/>
    <tableColumn id="3" xr3:uid="{9A365859-0A84-40EE-BAEC-67FCC5C3C088}" name="CONFIG_JSON"/>
    <tableColumn id="4" xr3:uid="{7A160AAE-311B-404F-B296-B5561E1DE95E}" name="COMMENT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8-18T09:05:32.10" personId="{A62AC10A-664A-493D-807B-E3F97E46AB32}" id="{D273293F-CA60-40FC-B46E-3E6A80A52972}">
    <text>Столбец хранит уникальный, для данной таблицы в данной Excel книге, целочисленные идентификаторы. Данный идентификатор не является основообразующим для работы BI скриптов, в качестве таковых выступают значения ключевого для данной таблицы столбца - 'IDconfig'. Тем не менее к столбцу предъявляются типовые требования целочисленных ID столбцов - значения должны быть целочисленным, начинаться строго с '1' и не иметь разрывов и перескоков в цепочке значений.</text>
  </threadedComment>
  <threadedComment ref="B1" dT="2025-08-18T09:01:09.84" personId="{A62AC10A-664A-493D-807B-E3F97E46AB32}" id="{9D432AF8-A6E2-47EB-92DF-B21A269C6848}">
    <text>Столбец хранит уникальные, для данной таблицы в данной Excel книге, текстовые идентификаторы. По данному идентификатору внешний Power Query скрипт будет находить  требуемый конфигурационный JSON объект в столбце ‘CONFIG_JSON’ и обрабатывать таблицу в соответствии с ним. В качестве значений могут выступать любые текстовые фразы, в том числе состоящие из нескольких слов но не имеющие в своем составе пробелов, также необходимо соблюдать язык символов - только латиница.</text>
  </threadedComment>
  <threadedComment ref="C1" dT="2025-08-18T09:23:09.20" personId="{A62AC10A-664A-493D-807B-E3F97E46AB32}" id="{9C491309-6F02-4709-9819-F62CC671A92C}">
    <text>Столбец хранит набор конфигурационных объектов, строго в формате JSON, в которых на языке 'HorizonBI' описано:
'ЧТО/КАК/В КАКОМ ОБЪЕМЕ' необходимо обработать объект Excel книги.</text>
  </threadedComment>
  <threadedComment ref="D1" dT="2025-08-18T09:10:04.85" personId="{A62AC10A-664A-493D-807B-E3F97E46AB32}" id="{5BCE4ACB-DA63-43DE-89D7-0AF9B104CC24}">
    <text>Комментарий определяющий назначение конфигурационного JSON объекта.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shop.nag.ru/catalog/01889.sfp-gbic-xfp-sfp-x2-xenpak-qsfp-cfp-moduli/19227.moduli-qsfp28/19411.snr-qsfp28-aoc-3" TargetMode="External"/><Relationship Id="rId7" Type="http://schemas.openxmlformats.org/officeDocument/2006/relationships/hyperlink" Target="https://shop.nag.ru/catalog/01889.sfp-gbic-xfp-sfp-x2-xenpak-qsfp-cfp-moduli/02086.moduli-sfp/00537.snr-sfp-lx-20" TargetMode="External"/><Relationship Id="rId2" Type="http://schemas.openxmlformats.org/officeDocument/2006/relationships/hyperlink" Target="https://origo-networks.ru/products/1/16.html" TargetMode="External"/><Relationship Id="rId1" Type="http://schemas.openxmlformats.org/officeDocument/2006/relationships/hyperlink" Target="https://shop.nag.ru/catalog/00001.kommutatory/40213.fiksirovannye-kommutatory/41037.s6730-h48x6c" TargetMode="External"/><Relationship Id="rId6" Type="http://schemas.openxmlformats.org/officeDocument/2006/relationships/hyperlink" Target="https://shop.nag.ru/catalog/01891.moduli-sfp/07576.snr-sfplr-2" TargetMode="External"/><Relationship Id="rId5" Type="http://schemas.openxmlformats.org/officeDocument/2006/relationships/hyperlink" Target="https://shop.nag.ru/catalog/01889.sfp-gbic-xfp-sfp-x2-xenpak-qsfp-cfp-moduli/02086.moduli-sfp/02132.snr-sfp-t" TargetMode="External"/><Relationship Id="rId4" Type="http://schemas.openxmlformats.org/officeDocument/2006/relationships/hyperlink" Target="https://shop.nag.ru/catalog/31464.komplektuyuschie-dlya-serverov-i-shd/02273.setevye-karty/54607.lres3026pf-ocp" TargetMode="External"/><Relationship Id="rId9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C5CD1-948B-4828-924F-AA22AB83D7F9}">
  <dimension ref="A1:AD8"/>
  <sheetViews>
    <sheetView tabSelected="1" zoomScale="93" zoomScaleNormal="93" workbookViewId="0">
      <pane ySplit="1" topLeftCell="A2" activePane="bottomLeft" state="frozen"/>
      <selection activeCell="G1" sqref="G1"/>
      <selection pane="bottomLeft" activeCell="G2" sqref="G2"/>
    </sheetView>
  </sheetViews>
  <sheetFormatPr defaultRowHeight="14.4" outlineLevelCol="1" x14ac:dyDescent="0.3"/>
  <cols>
    <col min="1" max="1" width="6.44140625" customWidth="1"/>
    <col min="2" max="2" width="9" customWidth="1" outlineLevel="1"/>
    <col min="3" max="3" width="13.5546875" customWidth="1" outlineLevel="1"/>
    <col min="4" max="4" width="17" customWidth="1" outlineLevel="1"/>
    <col min="5" max="5" width="13.109375" customWidth="1" outlineLevel="1"/>
    <col min="6" max="6" width="19.5546875" customWidth="1" outlineLevel="1"/>
    <col min="7" max="7" width="36" customWidth="1"/>
    <col min="8" max="8" width="62.6640625" customWidth="1"/>
    <col min="9" max="9" width="9.44140625" bestFit="1" customWidth="1"/>
    <col min="10" max="10" width="17" customWidth="1" outlineLevel="1"/>
    <col min="11" max="11" width="14.44140625" customWidth="1" outlineLevel="1"/>
    <col min="12" max="12" width="20.33203125" customWidth="1" outlineLevel="1"/>
    <col min="13" max="13" width="24.44140625" customWidth="1" outlineLevel="1"/>
    <col min="14" max="14" width="10.44140625" bestFit="1" customWidth="1"/>
    <col min="15" max="15" width="15.6640625" customWidth="1" outlineLevel="1"/>
    <col min="16" max="16" width="16.6640625" customWidth="1" outlineLevel="1"/>
    <col min="17" max="17" width="14.33203125" customWidth="1"/>
    <col min="18" max="18" width="16.5546875" customWidth="1" outlineLevel="1"/>
    <col min="19" max="19" width="15.6640625" customWidth="1" outlineLevel="1"/>
    <col min="20" max="20" width="17.33203125" style="8" customWidth="1" outlineLevel="1"/>
    <col min="21" max="21" width="15" customWidth="1" outlineLevel="1"/>
    <col min="22" max="22" width="15.44140625" customWidth="1" outlineLevel="1"/>
    <col min="23" max="23" width="16.44140625" style="8" customWidth="1"/>
    <col min="24" max="24" width="17" style="8" customWidth="1"/>
    <col min="25" max="25" width="13.5546875" style="8" customWidth="1"/>
    <col min="26" max="26" width="17.109375" style="8" customWidth="1"/>
    <col min="27" max="27" width="21" customWidth="1" outlineLevel="1"/>
    <col min="28" max="28" width="54.6640625" customWidth="1" outlineLevel="1"/>
    <col min="29" max="29" width="39" customWidth="1" outlineLevel="1"/>
    <col min="30" max="30" width="47.44140625" customWidth="1"/>
  </cols>
  <sheetData>
    <row r="1" spans="1:30" ht="60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202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7" t="s">
        <v>18</v>
      </c>
      <c r="U1" s="1" t="s">
        <v>19</v>
      </c>
      <c r="V1" s="1" t="s">
        <v>20</v>
      </c>
      <c r="W1" s="7" t="s">
        <v>21</v>
      </c>
      <c r="X1" s="7" t="s">
        <v>22</v>
      </c>
      <c r="Y1" s="7" t="s">
        <v>23</v>
      </c>
      <c r="Z1" s="7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ht="277.5" customHeight="1" x14ac:dyDescent="0.3">
      <c r="A2" s="4">
        <v>3</v>
      </c>
      <c r="B2" s="4">
        <v>0</v>
      </c>
      <c r="C2" s="4">
        <v>3</v>
      </c>
      <c r="D2" s="4">
        <v>2</v>
      </c>
      <c r="E2" s="5" t="str">
        <f>TabSpecificationWork[[#This Row],[№ КОМПЛЕКТА]] &amp; "." &amp; TabSpecificationWork[[#This Row],[№ ПОРЯДКОВЫЙ В КОМПЛЕКТЕ]]</f>
        <v>3.2</v>
      </c>
      <c r="F2" s="6" t="s">
        <v>34</v>
      </c>
      <c r="G2" s="22" t="s">
        <v>35</v>
      </c>
      <c r="H2" s="30" t="s">
        <v>206</v>
      </c>
      <c r="I2" s="4" t="s">
        <v>29</v>
      </c>
      <c r="J2" s="27" t="s">
        <v>203</v>
      </c>
      <c r="K2" s="5" t="s">
        <v>37</v>
      </c>
      <c r="L2" s="17" t="s">
        <v>38</v>
      </c>
      <c r="M2" s="16"/>
      <c r="N2" s="4" t="s">
        <v>33</v>
      </c>
      <c r="O2" s="4">
        <v>3</v>
      </c>
      <c r="P2" s="4">
        <v>1</v>
      </c>
      <c r="Q2" s="4">
        <f>TabSpecificationWork[[#This Row],[КОЛИЧЕСТВО В КОМПЛЕКТЕ]]*TabSpecificationWork[[#This Row],[КОМПЛЕКТОВ В ПОСТАВКЕ]]</f>
        <v>3</v>
      </c>
      <c r="R2" s="4">
        <v>12</v>
      </c>
      <c r="S2" s="19">
        <v>20000</v>
      </c>
      <c r="T2" s="9">
        <f>TabSpecificationWork[[#This Row],[КОЛИЧЕСТВО ИТОГО]]*TabSpecificationWork[[#This Row],[ЦЕНА ЗА ЕД. $ЗАКУП]]</f>
        <v>60000</v>
      </c>
      <c r="U2" s="10">
        <v>1</v>
      </c>
      <c r="V2" s="21">
        <v>4</v>
      </c>
      <c r="W2" s="9">
        <f>TabSpecificationWork[[#This Row],[ЦЕНА ЗА ЕД. $ЗАКУП]]*TabSpecificationWork[[#This Row],[КОЭФФ ПРОПОРЦИО-ТИ]]*TabSpecificationWork[[#This Row],[КОЭФФИЦИЕНТ НАЦЕНКИ]]</f>
        <v>80000</v>
      </c>
      <c r="X2" s="9">
        <f>TabSpecificationWork[[#This Row],[КОЛИЧЕСТВО ИТОГО]]*TabSpecificationWork[[#This Row],[ЦЕНА ЗА ЕД. $РЕАЛИЗАЦИЯ]]</f>
        <v>240000</v>
      </c>
      <c r="Y2" s="9">
        <f>TabSpecificationWork[[#This Row],[ЦЕНА ЗА ЕД. $РЕАЛИЗАЦИЯ]]</f>
        <v>80000</v>
      </c>
      <c r="Z2" s="9">
        <f>TabSpecificationWork[[#This Row],[СТОИМОСТЬ $РЕАЛИЗАЦИЯ]]</f>
        <v>240000</v>
      </c>
      <c r="AA2" s="11"/>
      <c r="AB2" s="23" t="s">
        <v>39</v>
      </c>
      <c r="AC2" s="14" t="s">
        <v>40</v>
      </c>
      <c r="AD2" s="12"/>
    </row>
    <row r="3" spans="1:30" ht="302.39999999999998" x14ac:dyDescent="0.3">
      <c r="A3" s="4">
        <v>4</v>
      </c>
      <c r="B3" s="4">
        <v>0</v>
      </c>
      <c r="C3" s="4">
        <v>3</v>
      </c>
      <c r="D3" s="4">
        <v>2</v>
      </c>
      <c r="E3" s="5" t="str">
        <f>TabSpecificationWork[[#This Row],[№ КОМПЛЕКТА]] &amp; "." &amp; TabSpecificationWork[[#This Row],[№ ПОРЯДКОВЫЙ В КОМПЛЕКТЕ]]</f>
        <v>3.2</v>
      </c>
      <c r="F3" s="6" t="s">
        <v>34</v>
      </c>
      <c r="G3" s="22" t="s">
        <v>41</v>
      </c>
      <c r="H3" s="22" t="s">
        <v>42</v>
      </c>
      <c r="I3" s="4" t="s">
        <v>29</v>
      </c>
      <c r="J3" s="28" t="s">
        <v>203</v>
      </c>
      <c r="K3" s="5" t="s">
        <v>44</v>
      </c>
      <c r="L3" s="17" t="s">
        <v>45</v>
      </c>
      <c r="M3" s="16"/>
      <c r="N3" s="4" t="s">
        <v>33</v>
      </c>
      <c r="O3" s="4">
        <v>1</v>
      </c>
      <c r="P3" s="4">
        <v>1</v>
      </c>
      <c r="Q3" s="4">
        <f>TabSpecificationWork[[#This Row],[КОЛИЧЕСТВО В КОМПЛЕКТЕ]]*TabSpecificationWork[[#This Row],[КОМПЛЕКТОВ В ПОСТАВКЕ]]</f>
        <v>1</v>
      </c>
      <c r="R3" s="4">
        <v>10</v>
      </c>
      <c r="S3" s="19">
        <v>351700</v>
      </c>
      <c r="T3" s="9">
        <f>TabSpecificationWork[[#This Row],[КОЛИЧЕСТВО ИТОГО]]*TabSpecificationWork[[#This Row],[ЦЕНА ЗА ЕД. $ЗАКУП]]</f>
        <v>351700</v>
      </c>
      <c r="U3" s="10">
        <v>1</v>
      </c>
      <c r="V3" s="21">
        <v>5</v>
      </c>
      <c r="W3" s="9">
        <f>TabSpecificationWork[[#This Row],[ЦЕНА ЗА ЕД. $ЗАКУП]]*TabSpecificationWork[[#This Row],[КОЭФФ ПРОПОРЦИО-ТИ]]*TabSpecificationWork[[#This Row],[КОЭФФИЦИЕНТ НАЦЕНКИ]]</f>
        <v>1758500</v>
      </c>
      <c r="X3" s="9">
        <f>TabSpecificationWork[[#This Row],[КОЛИЧЕСТВО ИТОГО]]*TabSpecificationWork[[#This Row],[ЦЕНА ЗА ЕД. $РЕАЛИЗАЦИЯ]]</f>
        <v>1758500</v>
      </c>
      <c r="Y3" s="9">
        <f>TabSpecificationWork[[#This Row],[ЦЕНА ЗА ЕД. $РЕАЛИЗАЦИЯ]]</f>
        <v>1758500</v>
      </c>
      <c r="Z3" s="9">
        <f>TabSpecificationWork[[#This Row],[СТОИМОСТЬ $РЕАЛИЗАЦИЯ]]</f>
        <v>1758500</v>
      </c>
      <c r="AA3" s="11"/>
      <c r="AB3" s="23" t="s">
        <v>46</v>
      </c>
      <c r="AC3" s="14" t="s">
        <v>47</v>
      </c>
      <c r="AD3" s="12"/>
    </row>
    <row r="4" spans="1:30" ht="158.4" x14ac:dyDescent="0.3">
      <c r="A4" s="4">
        <v>5</v>
      </c>
      <c r="B4" s="4">
        <v>0</v>
      </c>
      <c r="C4" s="4">
        <v>3</v>
      </c>
      <c r="D4" s="4">
        <v>3</v>
      </c>
      <c r="E4" s="5" t="str">
        <f>TabSpecificationWork[[#This Row],[№ КОМПЛЕКТА]] &amp; "." &amp; TabSpecificationWork[[#This Row],[№ ПОРЯДКОВЫЙ В КОМПЛЕКТЕ]]</f>
        <v>3.3</v>
      </c>
      <c r="F4" s="6" t="s">
        <v>34</v>
      </c>
      <c r="G4" s="22" t="s">
        <v>48</v>
      </c>
      <c r="H4" s="22" t="s">
        <v>49</v>
      </c>
      <c r="I4" s="4" t="s">
        <v>29</v>
      </c>
      <c r="J4" s="28" t="s">
        <v>203</v>
      </c>
      <c r="K4" s="5" t="s">
        <v>44</v>
      </c>
      <c r="L4" s="17" t="s">
        <v>51</v>
      </c>
      <c r="M4" s="16"/>
      <c r="N4" s="4" t="s">
        <v>33</v>
      </c>
      <c r="O4" s="4">
        <v>3</v>
      </c>
      <c r="P4" s="4">
        <v>1</v>
      </c>
      <c r="Q4" s="4">
        <f>TabSpecificationWork[[#This Row],[КОЛИЧЕСТВО В КОМПЛЕКТЕ]]*TabSpecificationWork[[#This Row],[КОМПЛЕКТОВ В ПОСТАВКЕ]]</f>
        <v>3</v>
      </c>
      <c r="R4" s="4">
        <v>4</v>
      </c>
      <c r="S4" s="19">
        <v>58300</v>
      </c>
      <c r="T4" s="9">
        <f>TabSpecificationWork[[#This Row],[КОЛИЧЕСТВО ИТОГО]]*TabSpecificationWork[[#This Row],[ЦЕНА ЗА ЕД. $ЗАКУП]]</f>
        <v>174900</v>
      </c>
      <c r="U4" s="10">
        <v>1</v>
      </c>
      <c r="V4" s="21">
        <v>3</v>
      </c>
      <c r="W4" s="9">
        <f>TabSpecificationWork[[#This Row],[ЦЕНА ЗА ЕД. $ЗАКУП]]*TabSpecificationWork[[#This Row],[КОЭФФ ПРОПОРЦИО-ТИ]]*TabSpecificationWork[[#This Row],[КОЭФФИЦИЕНТ НАЦЕНКИ]]</f>
        <v>174900</v>
      </c>
      <c r="X4" s="9">
        <f>TabSpecificationWork[[#This Row],[КОЛИЧЕСТВО ИТОГО]]*TabSpecificationWork[[#This Row],[ЦЕНА ЗА ЕД. $РЕАЛИЗАЦИЯ]]</f>
        <v>524700</v>
      </c>
      <c r="Y4" s="9">
        <f>TabSpecificationWork[[#This Row],[ЦЕНА ЗА ЕД. $РЕАЛИЗАЦИЯ]]</f>
        <v>174900</v>
      </c>
      <c r="Z4" s="9">
        <f>TabSpecificationWork[[#This Row],[СТОИМОСТЬ $РЕАЛИЗАЦИЯ]]</f>
        <v>524700</v>
      </c>
      <c r="AA4" s="11"/>
      <c r="AB4" s="23" t="s">
        <v>52</v>
      </c>
      <c r="AC4" s="14" t="s">
        <v>53</v>
      </c>
      <c r="AD4" s="12"/>
    </row>
    <row r="5" spans="1:30" ht="86.4" x14ac:dyDescent="0.3">
      <c r="A5" s="4">
        <v>6</v>
      </c>
      <c r="B5" s="4">
        <v>0</v>
      </c>
      <c r="C5" s="4">
        <v>4</v>
      </c>
      <c r="D5" s="4">
        <v>1</v>
      </c>
      <c r="E5" s="5" t="str">
        <f>TabSpecificationWork[[#This Row],[№ КОМПЛЕКТА]] &amp; "." &amp; TabSpecificationWork[[#This Row],[№ ПОРЯДКОВЫЙ В КОМПЛЕКТЕ]]</f>
        <v>4.1</v>
      </c>
      <c r="F5" s="6" t="s">
        <v>54</v>
      </c>
      <c r="G5" s="22" t="s">
        <v>55</v>
      </c>
      <c r="H5" s="22" t="s">
        <v>56</v>
      </c>
      <c r="I5" s="4" t="s">
        <v>29</v>
      </c>
      <c r="J5" s="28" t="s">
        <v>203</v>
      </c>
      <c r="K5" s="5" t="s">
        <v>44</v>
      </c>
      <c r="L5" s="17" t="s">
        <v>58</v>
      </c>
      <c r="M5" s="15"/>
      <c r="N5" s="4" t="s">
        <v>33</v>
      </c>
      <c r="O5" s="4">
        <v>6</v>
      </c>
      <c r="P5" s="4">
        <v>1</v>
      </c>
      <c r="Q5" s="4">
        <f>TabSpecificationWork[[#This Row],[КОЛИЧЕСТВО В КОМПЛЕКТЕ]]*TabSpecificationWork[[#This Row],[КОМПЛЕКТОВ В ПОСТАВКЕ]]</f>
        <v>6</v>
      </c>
      <c r="R5" s="4">
        <v>0</v>
      </c>
      <c r="S5" s="19">
        <v>15900</v>
      </c>
      <c r="T5" s="9">
        <f>TabSpecificationWork[[#This Row],[КОЛИЧЕСТВО ИТОГО]]*TabSpecificationWork[[#This Row],[ЦЕНА ЗА ЕД. $ЗАКУП]]</f>
        <v>95400</v>
      </c>
      <c r="U5" s="10">
        <v>1</v>
      </c>
      <c r="V5" s="21">
        <v>3</v>
      </c>
      <c r="W5" s="9">
        <f>TabSpecificationWork[[#This Row],[ЦЕНА ЗА ЕД. $ЗАКУП]]*TabSpecificationWork[[#This Row],[КОЭФФ ПРОПОРЦИО-ТИ]]*TabSpecificationWork[[#This Row],[КОЭФФИЦИЕНТ НАЦЕНКИ]]</f>
        <v>47700</v>
      </c>
      <c r="X5" s="9">
        <f>TabSpecificationWork[[#This Row],[КОЛИЧЕСТВО ИТОГО]]*TabSpecificationWork[[#This Row],[ЦЕНА ЗА ЕД. $РЕАЛИЗАЦИЯ]]</f>
        <v>286200</v>
      </c>
      <c r="Y5" s="9">
        <f>TabSpecificationWork[[#This Row],[ЦЕНА ЗА ЕД. $РЕАЛИЗАЦИЯ]]</f>
        <v>47700</v>
      </c>
      <c r="Z5" s="9">
        <f>TabSpecificationWork[[#This Row],[СТОИМОСТЬ $РЕАЛИЗАЦИЯ]]</f>
        <v>286200</v>
      </c>
      <c r="AA5" s="11"/>
      <c r="AB5" s="13" t="s">
        <v>59</v>
      </c>
      <c r="AC5" s="14" t="s">
        <v>60</v>
      </c>
      <c r="AD5" s="12"/>
    </row>
    <row r="6" spans="1:30" ht="187.2" x14ac:dyDescent="0.3">
      <c r="A6" s="4">
        <v>7</v>
      </c>
      <c r="B6" s="4">
        <v>0</v>
      </c>
      <c r="C6" s="4">
        <v>4</v>
      </c>
      <c r="D6" s="4">
        <v>2</v>
      </c>
      <c r="E6" s="5" t="str">
        <f>TabSpecificationWork[[#This Row],[№ КОМПЛЕКТА]] &amp; "." &amp; TabSpecificationWork[[#This Row],[№ ПОРЯДКОВЫЙ В КОМПЛЕКТЕ]]</f>
        <v>4.2</v>
      </c>
      <c r="F6" s="6" t="s">
        <v>54</v>
      </c>
      <c r="G6" s="22" t="s">
        <v>61</v>
      </c>
      <c r="H6" s="22" t="s">
        <v>62</v>
      </c>
      <c r="I6" s="4" t="s">
        <v>29</v>
      </c>
      <c r="J6" s="28" t="s">
        <v>203</v>
      </c>
      <c r="K6" s="5" t="s">
        <v>44</v>
      </c>
      <c r="L6" s="17" t="s">
        <v>63</v>
      </c>
      <c r="M6" s="16"/>
      <c r="N6" s="4" t="s">
        <v>33</v>
      </c>
      <c r="O6" s="4">
        <v>4</v>
      </c>
      <c r="P6" s="4">
        <v>1</v>
      </c>
      <c r="Q6" s="4">
        <f>TabSpecificationWork[[#This Row],[КОЛИЧЕСТВО В КОМПЛЕКТЕ]]*TabSpecificationWork[[#This Row],[КОМПЛЕКТОВ В ПОСТАВКЕ]]</f>
        <v>4</v>
      </c>
      <c r="R6" s="4">
        <v>1000</v>
      </c>
      <c r="S6" s="19">
        <v>1400</v>
      </c>
      <c r="T6" s="9">
        <f>TabSpecificationWork[[#This Row],[КОЛИЧЕСТВО ИТОГО]]*TabSpecificationWork[[#This Row],[ЦЕНА ЗА ЕД. $ЗАКУП]]</f>
        <v>5600</v>
      </c>
      <c r="U6" s="10">
        <v>1</v>
      </c>
      <c r="V6" s="21">
        <v>2.7</v>
      </c>
      <c r="W6" s="9">
        <f>TabSpecificationWork[[#This Row],[ЦЕНА ЗА ЕД. $ЗАКУП]]*TabSpecificationWork[[#This Row],[КОЭФФ ПРОПОРЦИО-ТИ]]*TabSpecificationWork[[#This Row],[КОЭФФИЦИЕНТ НАЦЕНКИ]]</f>
        <v>3780.0000000000005</v>
      </c>
      <c r="X6" s="9">
        <f>TabSpecificationWork[[#This Row],[КОЛИЧЕСТВО ИТОГО]]*TabSpecificationWork[[#This Row],[ЦЕНА ЗА ЕД. $РЕАЛИЗАЦИЯ]]</f>
        <v>15120.000000000002</v>
      </c>
      <c r="Y6" s="9">
        <f>TabSpecificationWork[[#This Row],[ЦЕНА ЗА ЕД. $РЕАЛИЗАЦИЯ]]</f>
        <v>3780.0000000000005</v>
      </c>
      <c r="Z6" s="9">
        <f>TabSpecificationWork[[#This Row],[СТОИМОСТЬ $РЕАЛИЗАЦИЯ]]</f>
        <v>15120.000000000002</v>
      </c>
      <c r="AA6" s="11"/>
      <c r="AB6" s="23" t="s">
        <v>64</v>
      </c>
      <c r="AC6" s="14" t="s">
        <v>65</v>
      </c>
      <c r="AD6" s="12"/>
    </row>
    <row r="7" spans="1:30" ht="86.4" x14ac:dyDescent="0.3">
      <c r="A7" s="4">
        <v>8</v>
      </c>
      <c r="B7" s="4">
        <v>0</v>
      </c>
      <c r="C7" s="4">
        <v>4</v>
      </c>
      <c r="D7" s="4">
        <v>4</v>
      </c>
      <c r="E7" s="5" t="str">
        <f>TabSpecificationWork[[#This Row],[№ КОМПЛЕКТА]] &amp; "." &amp; TabSpecificationWork[[#This Row],[№ ПОРЯДКОВЫЙ В КОМПЛЕКТЕ]]</f>
        <v>4.4</v>
      </c>
      <c r="F7" s="6" t="s">
        <v>54</v>
      </c>
      <c r="G7" s="22" t="s">
        <v>66</v>
      </c>
      <c r="H7" s="24" t="s">
        <v>181</v>
      </c>
      <c r="I7" s="4" t="s">
        <v>29</v>
      </c>
      <c r="J7" s="28" t="s">
        <v>203</v>
      </c>
      <c r="K7" s="5" t="s">
        <v>44</v>
      </c>
      <c r="L7" s="17" t="s">
        <v>67</v>
      </c>
      <c r="M7" s="18"/>
      <c r="N7" s="4" t="s">
        <v>33</v>
      </c>
      <c r="O7" s="4">
        <v>6</v>
      </c>
      <c r="P7" s="4">
        <v>1</v>
      </c>
      <c r="Q7" s="4">
        <f>TabSpecificationWork[[#This Row],[КОЛИЧЕСТВО В КОМПЛЕКТЕ]]*TabSpecificationWork[[#This Row],[КОМПЛЕКТОВ В ПОСТАВКЕ]]</f>
        <v>6</v>
      </c>
      <c r="R7" s="4">
        <v>1000</v>
      </c>
      <c r="S7" s="19">
        <v>2900</v>
      </c>
      <c r="T7" s="9">
        <f>TabSpecificationWork[[#This Row],[КОЛИЧЕСТВО ИТОГО]]*TabSpecificationWork[[#This Row],[ЦЕНА ЗА ЕД. $ЗАКУП]]</f>
        <v>17400</v>
      </c>
      <c r="U7" s="10">
        <v>1</v>
      </c>
      <c r="V7" s="21">
        <v>2.7</v>
      </c>
      <c r="W7" s="9">
        <f>TabSpecificationWork[[#This Row],[ЦЕНА ЗА ЕД. $ЗАКУП]]*TabSpecificationWork[[#This Row],[КОЭФФ ПРОПОРЦИО-ТИ]]*TabSpecificationWork[[#This Row],[КОЭФФИЦИЕНТ НАЦЕНКИ]]</f>
        <v>7830.0000000000009</v>
      </c>
      <c r="X7" s="9">
        <f>TabSpecificationWork[[#This Row],[КОЛИЧЕСТВО ИТОГО]]*TabSpecificationWork[[#This Row],[ЦЕНА ЗА ЕД. $РЕАЛИЗАЦИЯ]]</f>
        <v>46980.000000000007</v>
      </c>
      <c r="Y7" s="9">
        <f>TabSpecificationWork[[#This Row],[ЦЕНА ЗА ЕД. $РЕАЛИЗАЦИЯ]]</f>
        <v>7830.0000000000009</v>
      </c>
      <c r="Z7" s="9">
        <f>TabSpecificationWork[[#This Row],[СТОИМОСТЬ $РЕАЛИЗАЦИЯ]]</f>
        <v>46980.000000000007</v>
      </c>
      <c r="AA7" s="11"/>
      <c r="AB7" s="23" t="s">
        <v>68</v>
      </c>
      <c r="AC7" s="14" t="s">
        <v>69</v>
      </c>
      <c r="AD7" s="12"/>
    </row>
    <row r="8" spans="1:30" ht="201.6" x14ac:dyDescent="0.3">
      <c r="A8" s="4">
        <v>9</v>
      </c>
      <c r="B8" s="4">
        <v>0</v>
      </c>
      <c r="C8" s="4">
        <v>4</v>
      </c>
      <c r="D8" s="4">
        <v>5</v>
      </c>
      <c r="E8" s="5" t="str">
        <f>TabSpecificationWork[[#This Row],[№ КОМПЛЕКТА]] &amp; "." &amp; TabSpecificationWork[[#This Row],[№ ПОРЯДКОВЫЙ В КОМПЛЕКТЕ]]</f>
        <v>4.5</v>
      </c>
      <c r="F8" s="6" t="s">
        <v>54</v>
      </c>
      <c r="G8" s="22" t="s">
        <v>70</v>
      </c>
      <c r="H8" s="22" t="s">
        <v>71</v>
      </c>
      <c r="I8" s="4" t="s">
        <v>29</v>
      </c>
      <c r="J8" s="28" t="s">
        <v>203</v>
      </c>
      <c r="K8" s="5" t="s">
        <v>44</v>
      </c>
      <c r="L8" s="17" t="s">
        <v>72</v>
      </c>
      <c r="M8" s="18"/>
      <c r="N8" s="4" t="s">
        <v>33</v>
      </c>
      <c r="O8" s="4">
        <v>24</v>
      </c>
      <c r="P8" s="4">
        <v>1</v>
      </c>
      <c r="Q8" s="4">
        <f>TabSpecificationWork[[#This Row],[КОЛИЧЕСТВО В КОМПЛЕКТЕ]]*TabSpecificationWork[[#This Row],[КОМПЛЕКТОВ В ПОСТАВКЕ]]</f>
        <v>24</v>
      </c>
      <c r="R8" s="4">
        <v>1000</v>
      </c>
      <c r="S8" s="19">
        <v>2000</v>
      </c>
      <c r="T8" s="9">
        <f>TabSpecificationWork[[#This Row],[КОЛИЧЕСТВО ИТОГО]]*TabSpecificationWork[[#This Row],[ЦЕНА ЗА ЕД. $ЗАКУП]]</f>
        <v>48000</v>
      </c>
      <c r="U8" s="10">
        <v>1</v>
      </c>
      <c r="V8" s="21">
        <v>3.2</v>
      </c>
      <c r="W8" s="9">
        <f>TabSpecificationWork[[#This Row],[ЦЕНА ЗА ЕД. $ЗАКУП]]*TabSpecificationWork[[#This Row],[КОЭФФ ПРОПОРЦИО-ТИ]]*TabSpecificationWork[[#This Row],[КОЭФФИЦИЕНТ НАЦЕНКИ]]</f>
        <v>6400</v>
      </c>
      <c r="X8" s="9">
        <f>TabSpecificationWork[[#This Row],[КОЛИЧЕСТВО ИТОГО]]*TabSpecificationWork[[#This Row],[ЦЕНА ЗА ЕД. $РЕАЛИЗАЦИЯ]]</f>
        <v>153600</v>
      </c>
      <c r="Y8" s="9">
        <f>TabSpecificationWork[[#This Row],[ЦЕНА ЗА ЕД. $РЕАЛИЗАЦИЯ]]</f>
        <v>6400</v>
      </c>
      <c r="Z8" s="9">
        <f>TabSpecificationWork[[#This Row],[СТОИМОСТЬ $РЕАЛИЗАЦИЯ]]</f>
        <v>153600</v>
      </c>
      <c r="AA8" s="11"/>
      <c r="AB8" s="23" t="s">
        <v>73</v>
      </c>
      <c r="AC8" s="14" t="s">
        <v>74</v>
      </c>
      <c r="AD8" s="12"/>
    </row>
  </sheetData>
  <phoneticPr fontId="5" type="noConversion"/>
  <conditionalFormatting sqref="J2:J8">
    <cfRule type="expression" dxfId="2" priority="1">
      <formula>IF($J2="delete",1,0)</formula>
    </cfRule>
    <cfRule type="expression" dxfId="1" priority="2">
      <formula>IF($J2="modify",1,0)</formula>
    </cfRule>
  </conditionalFormatting>
  <conditionalFormatting sqref="AD2:AD8">
    <cfRule type="duplicateValues" dxfId="0" priority="30"/>
  </conditionalFormatting>
  <dataValidations count="16">
    <dataValidation operator="greaterThan" showInputMessage="1" showErrorMessage="1" sqref="AD2:AD8" xr:uid="{F659E4D5-3F3D-4AF4-9342-738D3445D024}"/>
    <dataValidation type="textLength" operator="greaterThan" showInputMessage="1" showErrorMessage="1" sqref="AC2:AC8" xr:uid="{B546A556-9C55-46EE-9FC6-F38C5C5C7E41}">
      <formula1>5</formula1>
    </dataValidation>
    <dataValidation type="decimal" operator="greaterThanOrEqual" showInputMessage="1" showErrorMessage="1" sqref="S2:Z8" xr:uid="{B941C71D-8137-47DD-A56A-7073A17BE7E2}">
      <formula1>1</formula1>
    </dataValidation>
    <dataValidation type="list" allowBlank="1" showInputMessage="1" showErrorMessage="1" sqref="N3:N8" xr:uid="{9D8CC6B9-FC9A-4D55-981E-0622F2D5B657}">
      <formula1>INDIRECT("TableUnits[UNITS]")</formula1>
    </dataValidation>
    <dataValidation type="list" allowBlank="1" showInputMessage="1" showErrorMessage="1" sqref="I2:I8" xr:uid="{839E9200-27EE-44BD-9AFD-5E35CF6FD3B3}">
      <formula1>"on,off"</formula1>
    </dataValidation>
    <dataValidation type="whole" operator="greaterThan" showInputMessage="1" showErrorMessage="1" sqref="R2:R8 A2:A8 C2:D8" xr:uid="{84307A19-AC2D-48F5-80E9-21A9BAF1F88E}">
      <formula1>0</formula1>
    </dataValidation>
    <dataValidation type="textLength" operator="equal" showInputMessage="1" showErrorMessage="1" sqref="M2:M8" xr:uid="{53BE1A5A-60B8-40AF-B173-41E979D43C2D}">
      <formula1>20</formula1>
    </dataValidation>
    <dataValidation type="whole" operator="greaterThanOrEqual" showInputMessage="1" showErrorMessage="1" sqref="B2:B8" xr:uid="{559BB565-4C8D-4DE1-A9AC-3450057B1DA6}">
      <formula1>0</formula1>
    </dataValidation>
    <dataValidation type="textLength" operator="greaterThan" showInputMessage="1" showErrorMessage="1" sqref="E2:E8" xr:uid="{733DB96D-AE80-4F28-BA05-D366B59EB134}">
      <formula1>2</formula1>
    </dataValidation>
    <dataValidation type="textLength" showInputMessage="1" showErrorMessage="1" sqref="F2:G8" xr:uid="{B38466C4-E261-499B-A5FF-2381B7724A73}">
      <formula1>5</formula1>
      <formula2>150</formula2>
    </dataValidation>
    <dataValidation type="textLength" showInputMessage="1" showErrorMessage="1" sqref="H2:H8" xr:uid="{7F1F8AB2-B9EA-493A-BDA5-C9A84FB0DC43}">
      <formula1>5</formula1>
      <formula2>1500</formula2>
    </dataValidation>
    <dataValidation type="whole" operator="greaterThanOrEqual" showInputMessage="1" showErrorMessage="1" sqref="O2:Q8" xr:uid="{7D192C3D-0932-4696-AB2B-670105C39754}">
      <formula1>1</formula1>
    </dataValidation>
    <dataValidation type="list" allowBlank="1" showInputMessage="1" showErrorMessage="1" sqref="N2" xr:uid="{A33486B8-C08B-4238-9C46-90A7754F764F}">
      <formula1>INDIRECT("TabHandbookUnit[UNITS]")</formula1>
    </dataValidation>
    <dataValidation type="list" operator="greaterThanOrEqual" showInputMessage="1" showErrorMessage="1" sqref="J2:J8" xr:uid="{F844D87A-BAA8-4B2D-B9F4-517AC0992770}">
      <formula1>"none,modify,delete"</formula1>
    </dataValidation>
    <dataValidation type="list" showInputMessage="1" showErrorMessage="1" sqref="J2:J8" xr:uid="{3C4EDEE8-76E5-46B7-B965-227EE7F75AED}">
      <formula1>"none,modify,delete,"</formula1>
    </dataValidation>
    <dataValidation type="list" showInputMessage="1" showErrorMessage="1" sqref="K2:K8" xr:uid="{705C17F0-01B4-46CA-9281-6BDF1CF5B1A2}">
      <formula1>INDIRECT("TabHandbookSupplier[COMPANY_LABEL]")</formula1>
    </dataValidation>
  </dataValidations>
  <hyperlinks>
    <hyperlink ref="AC3" r:id="rId1" location="description" xr:uid="{772BD8F6-5007-4F4F-85DA-A3B7186342FA}"/>
    <hyperlink ref="AC2" r:id="rId2" xr:uid="{6BAA938A-3C5C-4A5E-8D45-A6B0B5E89190}"/>
    <hyperlink ref="AC5" r:id="rId3" location="description" xr:uid="{0B5BB24B-367D-4539-834F-E54F5EA8E163}"/>
    <hyperlink ref="AC4" r:id="rId4" location="description" xr:uid="{6F328DB7-1D48-4367-8055-F8F430B610C0}"/>
    <hyperlink ref="AC7" r:id="rId5" xr:uid="{96EB3581-0338-4867-811F-A3F427611454}"/>
    <hyperlink ref="AC8" r:id="rId6" location="description" xr:uid="{8786CD43-41C0-400D-855F-31D3A28C726B}"/>
    <hyperlink ref="AC6" r:id="rId7" location="description" xr:uid="{9567147C-963D-4AB4-9CE7-5B8DEB5CC13F}"/>
  </hyperlinks>
  <pageMargins left="0.7" right="0.7" top="0.75" bottom="0.75" header="0.3" footer="0.3"/>
  <pageSetup paperSize="9" orientation="portrait" r:id="rId8"/>
  <tableParts count="1"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6"/>
  <sheetViews>
    <sheetView workbookViewId="0">
      <selection activeCell="C62" sqref="C62"/>
    </sheetView>
  </sheetViews>
  <sheetFormatPr defaultRowHeight="14.4" x14ac:dyDescent="0.3"/>
  <cols>
    <col min="1" max="1" width="11.44140625" bestFit="1" customWidth="1"/>
    <col min="2" max="3" width="22.6640625" bestFit="1" customWidth="1"/>
    <col min="4" max="4" width="11" customWidth="1"/>
    <col min="5" max="5" width="10.33203125" customWidth="1"/>
    <col min="6" max="6" width="9.44140625" customWidth="1"/>
    <col min="7" max="7" width="7.88671875" customWidth="1"/>
    <col min="8" max="8" width="21.6640625" customWidth="1"/>
    <col min="9" max="9" width="14.5546875" customWidth="1"/>
  </cols>
  <sheetData>
    <row r="1" spans="1:2" x14ac:dyDescent="0.3">
      <c r="A1" t="s">
        <v>205</v>
      </c>
      <c r="B1" t="s">
        <v>75</v>
      </c>
    </row>
    <row r="2" spans="1:2" x14ac:dyDescent="0.3">
      <c r="A2">
        <v>0</v>
      </c>
      <c r="B2" s="20" t="s">
        <v>32</v>
      </c>
    </row>
    <row r="3" spans="1:2" x14ac:dyDescent="0.3">
      <c r="A3">
        <v>201</v>
      </c>
      <c r="B3" s="20" t="s">
        <v>78</v>
      </c>
    </row>
    <row r="4" spans="1:2" x14ac:dyDescent="0.3">
      <c r="A4">
        <v>202</v>
      </c>
      <c r="B4" s="20" t="s">
        <v>81</v>
      </c>
    </row>
    <row r="5" spans="1:2" x14ac:dyDescent="0.3">
      <c r="A5">
        <v>203</v>
      </c>
      <c r="B5" s="20" t="s">
        <v>83</v>
      </c>
    </row>
    <row r="6" spans="1:2" x14ac:dyDescent="0.3">
      <c r="A6">
        <v>204</v>
      </c>
      <c r="B6" s="20" t="s">
        <v>85</v>
      </c>
    </row>
    <row r="7" spans="1:2" x14ac:dyDescent="0.3">
      <c r="A7">
        <v>205</v>
      </c>
      <c r="B7" s="20" t="s">
        <v>87</v>
      </c>
    </row>
    <row r="8" spans="1:2" x14ac:dyDescent="0.3">
      <c r="A8">
        <v>206</v>
      </c>
      <c r="B8" s="20" t="s">
        <v>89</v>
      </c>
    </row>
    <row r="9" spans="1:2" x14ac:dyDescent="0.3">
      <c r="A9">
        <v>207</v>
      </c>
      <c r="B9" s="20" t="s">
        <v>91</v>
      </c>
    </row>
    <row r="10" spans="1:2" x14ac:dyDescent="0.3">
      <c r="A10">
        <v>208</v>
      </c>
      <c r="B10" s="20" t="s">
        <v>93</v>
      </c>
    </row>
    <row r="11" spans="1:2" x14ac:dyDescent="0.3">
      <c r="A11">
        <v>209</v>
      </c>
      <c r="B11" s="20" t="s">
        <v>95</v>
      </c>
    </row>
    <row r="12" spans="1:2" x14ac:dyDescent="0.3">
      <c r="A12">
        <v>210</v>
      </c>
      <c r="B12" s="20" t="s">
        <v>84</v>
      </c>
    </row>
    <row r="13" spans="1:2" x14ac:dyDescent="0.3">
      <c r="A13">
        <v>211</v>
      </c>
      <c r="B13" s="20" t="s">
        <v>86</v>
      </c>
    </row>
    <row r="14" spans="1:2" x14ac:dyDescent="0.3">
      <c r="A14">
        <v>212</v>
      </c>
      <c r="B14" s="20" t="s">
        <v>99</v>
      </c>
    </row>
    <row r="15" spans="1:2" x14ac:dyDescent="0.3">
      <c r="A15">
        <v>213</v>
      </c>
      <c r="B15" s="20" t="s">
        <v>101</v>
      </c>
    </row>
    <row r="16" spans="1:2" x14ac:dyDescent="0.3">
      <c r="A16">
        <v>214</v>
      </c>
      <c r="B16" s="20" t="s">
        <v>103</v>
      </c>
    </row>
    <row r="17" spans="1:2" x14ac:dyDescent="0.3">
      <c r="A17">
        <v>215</v>
      </c>
      <c r="B17" s="20" t="s">
        <v>104</v>
      </c>
    </row>
    <row r="18" spans="1:2" x14ac:dyDescent="0.3">
      <c r="A18">
        <v>216</v>
      </c>
      <c r="B18" s="20" t="s">
        <v>106</v>
      </c>
    </row>
    <row r="19" spans="1:2" x14ac:dyDescent="0.3">
      <c r="A19">
        <v>217</v>
      </c>
      <c r="B19" s="20" t="s">
        <v>108</v>
      </c>
    </row>
    <row r="20" spans="1:2" x14ac:dyDescent="0.3">
      <c r="A20">
        <v>218</v>
      </c>
      <c r="B20" s="20" t="s">
        <v>110</v>
      </c>
    </row>
    <row r="21" spans="1:2" x14ac:dyDescent="0.3">
      <c r="A21">
        <v>219</v>
      </c>
      <c r="B21" s="20" t="s">
        <v>112</v>
      </c>
    </row>
    <row r="22" spans="1:2" x14ac:dyDescent="0.3">
      <c r="A22">
        <v>220</v>
      </c>
      <c r="B22" s="20" t="s">
        <v>114</v>
      </c>
    </row>
    <row r="23" spans="1:2" x14ac:dyDescent="0.3">
      <c r="A23">
        <v>221</v>
      </c>
      <c r="B23" s="20" t="s">
        <v>116</v>
      </c>
    </row>
    <row r="24" spans="1:2" x14ac:dyDescent="0.3">
      <c r="A24">
        <v>222</v>
      </c>
      <c r="B24" s="20" t="s">
        <v>118</v>
      </c>
    </row>
    <row r="25" spans="1:2" x14ac:dyDescent="0.3">
      <c r="A25">
        <v>223</v>
      </c>
      <c r="B25" s="20" t="s">
        <v>120</v>
      </c>
    </row>
    <row r="26" spans="1:2" x14ac:dyDescent="0.3">
      <c r="A26">
        <v>224</v>
      </c>
      <c r="B26" s="20" t="s">
        <v>122</v>
      </c>
    </row>
    <row r="27" spans="1:2" x14ac:dyDescent="0.3">
      <c r="A27">
        <v>225</v>
      </c>
      <c r="B27" s="20" t="s">
        <v>124</v>
      </c>
    </row>
    <row r="28" spans="1:2" x14ac:dyDescent="0.3">
      <c r="A28">
        <v>226</v>
      </c>
      <c r="B28" s="20" t="s">
        <v>126</v>
      </c>
    </row>
    <row r="29" spans="1:2" x14ac:dyDescent="0.3">
      <c r="A29">
        <v>227</v>
      </c>
      <c r="B29" s="20" t="s">
        <v>128</v>
      </c>
    </row>
    <row r="30" spans="1:2" x14ac:dyDescent="0.3">
      <c r="A30">
        <v>228</v>
      </c>
      <c r="B30" s="20" t="s">
        <v>130</v>
      </c>
    </row>
    <row r="31" spans="1:2" x14ac:dyDescent="0.3">
      <c r="A31">
        <v>229</v>
      </c>
      <c r="B31" s="20" t="s">
        <v>132</v>
      </c>
    </row>
    <row r="32" spans="1:2" x14ac:dyDescent="0.3">
      <c r="A32">
        <v>230</v>
      </c>
      <c r="B32" s="20" t="s">
        <v>134</v>
      </c>
    </row>
    <row r="33" spans="1:2" x14ac:dyDescent="0.3">
      <c r="A33">
        <v>231</v>
      </c>
      <c r="B33" s="20" t="s">
        <v>135</v>
      </c>
    </row>
    <row r="34" spans="1:2" x14ac:dyDescent="0.3">
      <c r="A34">
        <v>232</v>
      </c>
      <c r="B34" s="20" t="s">
        <v>137</v>
      </c>
    </row>
    <row r="35" spans="1:2" x14ac:dyDescent="0.3">
      <c r="A35">
        <v>233</v>
      </c>
      <c r="B35" s="20" t="s">
        <v>138</v>
      </c>
    </row>
    <row r="36" spans="1:2" x14ac:dyDescent="0.3">
      <c r="A36">
        <v>234</v>
      </c>
      <c r="B36" s="20" t="s">
        <v>140</v>
      </c>
    </row>
    <row r="37" spans="1:2" x14ac:dyDescent="0.3">
      <c r="A37">
        <v>235</v>
      </c>
      <c r="B37" s="20" t="s">
        <v>142</v>
      </c>
    </row>
    <row r="38" spans="1:2" x14ac:dyDescent="0.3">
      <c r="A38">
        <v>236</v>
      </c>
      <c r="B38" s="20" t="s">
        <v>143</v>
      </c>
    </row>
    <row r="39" spans="1:2" x14ac:dyDescent="0.3">
      <c r="A39">
        <v>237</v>
      </c>
      <c r="B39" s="20" t="s">
        <v>145</v>
      </c>
    </row>
    <row r="40" spans="1:2" x14ac:dyDescent="0.3">
      <c r="A40">
        <v>238</v>
      </c>
      <c r="B40" s="20" t="s">
        <v>147</v>
      </c>
    </row>
    <row r="41" spans="1:2" x14ac:dyDescent="0.3">
      <c r="A41">
        <v>239</v>
      </c>
      <c r="B41" s="20" t="s">
        <v>149</v>
      </c>
    </row>
    <row r="42" spans="1:2" x14ac:dyDescent="0.3">
      <c r="A42">
        <v>240</v>
      </c>
      <c r="B42" s="20" t="s">
        <v>151</v>
      </c>
    </row>
    <row r="43" spans="1:2" x14ac:dyDescent="0.3">
      <c r="A43">
        <v>241</v>
      </c>
      <c r="B43" s="20" t="s">
        <v>153</v>
      </c>
    </row>
    <row r="44" spans="1:2" x14ac:dyDescent="0.3">
      <c r="A44">
        <v>242</v>
      </c>
      <c r="B44" s="20" t="s">
        <v>36</v>
      </c>
    </row>
    <row r="45" spans="1:2" x14ac:dyDescent="0.3">
      <c r="A45">
        <v>243</v>
      </c>
      <c r="B45" s="20" t="s">
        <v>154</v>
      </c>
    </row>
    <row r="46" spans="1:2" x14ac:dyDescent="0.3">
      <c r="A46">
        <v>244</v>
      </c>
      <c r="B46" s="20" t="s">
        <v>155</v>
      </c>
    </row>
    <row r="47" spans="1:2" x14ac:dyDescent="0.3">
      <c r="A47">
        <v>245</v>
      </c>
      <c r="B47" s="20" t="s">
        <v>156</v>
      </c>
    </row>
    <row r="48" spans="1:2" x14ac:dyDescent="0.3">
      <c r="A48">
        <v>246</v>
      </c>
      <c r="B48" s="20" t="s">
        <v>157</v>
      </c>
    </row>
    <row r="49" spans="1:2" x14ac:dyDescent="0.3">
      <c r="A49">
        <v>247</v>
      </c>
      <c r="B49" s="20" t="s">
        <v>158</v>
      </c>
    </row>
    <row r="50" spans="1:2" x14ac:dyDescent="0.3">
      <c r="A50">
        <v>248</v>
      </c>
      <c r="B50" s="20" t="s">
        <v>159</v>
      </c>
    </row>
    <row r="51" spans="1:2" x14ac:dyDescent="0.3">
      <c r="A51">
        <v>249</v>
      </c>
      <c r="B51" s="20" t="s">
        <v>160</v>
      </c>
    </row>
    <row r="52" spans="1:2" x14ac:dyDescent="0.3">
      <c r="A52">
        <v>250</v>
      </c>
      <c r="B52" s="20" t="s">
        <v>161</v>
      </c>
    </row>
    <row r="53" spans="1:2" x14ac:dyDescent="0.3">
      <c r="A53">
        <v>251</v>
      </c>
      <c r="B53" s="20" t="s">
        <v>162</v>
      </c>
    </row>
    <row r="54" spans="1:2" x14ac:dyDescent="0.3">
      <c r="A54">
        <v>252</v>
      </c>
      <c r="B54" s="20" t="s">
        <v>163</v>
      </c>
    </row>
    <row r="55" spans="1:2" x14ac:dyDescent="0.3">
      <c r="A55">
        <v>253</v>
      </c>
      <c r="B55" s="20" t="s">
        <v>164</v>
      </c>
    </row>
    <row r="56" spans="1:2" x14ac:dyDescent="0.3">
      <c r="A56">
        <v>254</v>
      </c>
      <c r="B56" s="20" t="s">
        <v>165</v>
      </c>
    </row>
    <row r="57" spans="1:2" x14ac:dyDescent="0.3">
      <c r="A57">
        <v>255</v>
      </c>
      <c r="B57" s="20" t="s">
        <v>166</v>
      </c>
    </row>
    <row r="58" spans="1:2" x14ac:dyDescent="0.3">
      <c r="A58">
        <v>256</v>
      </c>
      <c r="B58" s="20" t="s">
        <v>167</v>
      </c>
    </row>
    <row r="59" spans="1:2" x14ac:dyDescent="0.3">
      <c r="A59">
        <v>257</v>
      </c>
      <c r="B59" s="20" t="s">
        <v>168</v>
      </c>
    </row>
    <row r="60" spans="1:2" x14ac:dyDescent="0.3">
      <c r="A60">
        <v>258</v>
      </c>
      <c r="B60" s="20" t="s">
        <v>169</v>
      </c>
    </row>
    <row r="61" spans="1:2" x14ac:dyDescent="0.3">
      <c r="A61">
        <v>259</v>
      </c>
      <c r="B61" s="20" t="s">
        <v>170</v>
      </c>
    </row>
    <row r="62" spans="1:2" x14ac:dyDescent="0.3">
      <c r="A62">
        <v>260</v>
      </c>
      <c r="B62" s="20" t="s">
        <v>171</v>
      </c>
    </row>
    <row r="63" spans="1:2" x14ac:dyDescent="0.3">
      <c r="A63">
        <v>261</v>
      </c>
      <c r="B63" s="20" t="s">
        <v>172</v>
      </c>
    </row>
    <row r="64" spans="1:2" x14ac:dyDescent="0.3">
      <c r="A64">
        <v>262</v>
      </c>
      <c r="B64" s="20" t="s">
        <v>173</v>
      </c>
    </row>
    <row r="65" spans="1:2" x14ac:dyDescent="0.3">
      <c r="A65">
        <v>263</v>
      </c>
      <c r="B65" s="20" t="s">
        <v>174</v>
      </c>
    </row>
    <row r="66" spans="1:2" x14ac:dyDescent="0.3">
      <c r="A66">
        <v>264</v>
      </c>
      <c r="B66" s="20" t="s">
        <v>175</v>
      </c>
    </row>
    <row r="67" spans="1:2" x14ac:dyDescent="0.3">
      <c r="A67">
        <v>265</v>
      </c>
      <c r="B67" s="20" t="s">
        <v>176</v>
      </c>
    </row>
    <row r="68" spans="1:2" x14ac:dyDescent="0.3">
      <c r="A68">
        <v>266</v>
      </c>
      <c r="B68" s="20" t="s">
        <v>177</v>
      </c>
    </row>
    <row r="69" spans="1:2" x14ac:dyDescent="0.3">
      <c r="A69">
        <v>267</v>
      </c>
      <c r="B69" s="20" t="s">
        <v>178</v>
      </c>
    </row>
    <row r="70" spans="1:2" x14ac:dyDescent="0.3">
      <c r="A70">
        <v>268</v>
      </c>
      <c r="B70" s="20" t="s">
        <v>179</v>
      </c>
    </row>
    <row r="71" spans="1:2" x14ac:dyDescent="0.3">
      <c r="A71">
        <v>269</v>
      </c>
      <c r="B71" s="20" t="s">
        <v>180</v>
      </c>
    </row>
    <row r="72" spans="1:2" x14ac:dyDescent="0.3">
      <c r="A72">
        <v>270</v>
      </c>
      <c r="B72" s="20" t="s">
        <v>43</v>
      </c>
    </row>
    <row r="73" spans="1:2" x14ac:dyDescent="0.3">
      <c r="A73">
        <v>271</v>
      </c>
      <c r="B73" s="20" t="s">
        <v>50</v>
      </c>
    </row>
    <row r="74" spans="1:2" x14ac:dyDescent="0.3">
      <c r="A74">
        <v>272</v>
      </c>
      <c r="B74" s="20" t="s">
        <v>57</v>
      </c>
    </row>
    <row r="75" spans="1:2" x14ac:dyDescent="0.3">
      <c r="A75">
        <v>273</v>
      </c>
      <c r="B75" s="20" t="s">
        <v>30</v>
      </c>
    </row>
    <row r="76" spans="1:2" x14ac:dyDescent="0.3">
      <c r="A76">
        <v>274</v>
      </c>
      <c r="B76" s="20" t="s">
        <v>182</v>
      </c>
    </row>
    <row r="77" spans="1:2" x14ac:dyDescent="0.3">
      <c r="A77">
        <v>275</v>
      </c>
      <c r="B77" s="20" t="s">
        <v>36</v>
      </c>
    </row>
    <row r="78" spans="1:2" x14ac:dyDescent="0.3">
      <c r="A78">
        <v>276</v>
      </c>
      <c r="B78" s="20" t="s">
        <v>183</v>
      </c>
    </row>
    <row r="79" spans="1:2" x14ac:dyDescent="0.3">
      <c r="A79">
        <v>277</v>
      </c>
      <c r="B79" s="20" t="s">
        <v>184</v>
      </c>
    </row>
    <row r="80" spans="1:2" x14ac:dyDescent="0.3">
      <c r="A80">
        <v>278</v>
      </c>
      <c r="B80" s="20" t="s">
        <v>185</v>
      </c>
    </row>
    <row r="81" spans="1:2" x14ac:dyDescent="0.3">
      <c r="A81">
        <v>279</v>
      </c>
      <c r="B81" s="20" t="s">
        <v>186</v>
      </c>
    </row>
    <row r="82" spans="1:2" x14ac:dyDescent="0.3">
      <c r="A82">
        <v>280</v>
      </c>
      <c r="B82" s="20" t="s">
        <v>187</v>
      </c>
    </row>
    <row r="83" spans="1:2" x14ac:dyDescent="0.3">
      <c r="A83">
        <v>281</v>
      </c>
      <c r="B83" s="20" t="s">
        <v>188</v>
      </c>
    </row>
    <row r="84" spans="1:2" x14ac:dyDescent="0.3">
      <c r="A84">
        <v>282</v>
      </c>
      <c r="B84" s="20" t="s">
        <v>189</v>
      </c>
    </row>
    <row r="85" spans="1:2" x14ac:dyDescent="0.3">
      <c r="A85">
        <v>283</v>
      </c>
      <c r="B85" s="20" t="s">
        <v>190</v>
      </c>
    </row>
    <row r="86" spans="1:2" x14ac:dyDescent="0.3">
      <c r="A86">
        <v>284</v>
      </c>
      <c r="B86" s="20" t="s">
        <v>191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F9580-8948-434C-8C2E-CE90B3CC0A0F}">
  <dimension ref="A1:B47"/>
  <sheetViews>
    <sheetView workbookViewId="0">
      <selection activeCell="E63" sqref="E63"/>
    </sheetView>
  </sheetViews>
  <sheetFormatPr defaultRowHeight="14.4" x14ac:dyDescent="0.3"/>
  <cols>
    <col min="1" max="1" width="11.6640625" bestFit="1" customWidth="1"/>
    <col min="2" max="2" width="20.5546875" bestFit="1" customWidth="1"/>
    <col min="3" max="3" width="21.33203125" bestFit="1" customWidth="1"/>
  </cols>
  <sheetData>
    <row r="1" spans="1:2" x14ac:dyDescent="0.3">
      <c r="A1" t="s">
        <v>204</v>
      </c>
      <c r="B1" s="29" t="s">
        <v>76</v>
      </c>
    </row>
    <row r="2" spans="1:2" x14ac:dyDescent="0.3">
      <c r="A2" s="3">
        <v>1318</v>
      </c>
      <c r="B2" s="20" t="s">
        <v>78</v>
      </c>
    </row>
    <row r="3" spans="1:2" x14ac:dyDescent="0.3">
      <c r="A3" s="3">
        <v>1328</v>
      </c>
      <c r="B3" s="20" t="s">
        <v>81</v>
      </c>
    </row>
    <row r="4" spans="1:2" x14ac:dyDescent="0.3">
      <c r="A4" s="3">
        <v>1337</v>
      </c>
      <c r="B4" s="20" t="s">
        <v>79</v>
      </c>
    </row>
    <row r="5" spans="1:2" x14ac:dyDescent="0.3">
      <c r="A5" s="3">
        <v>1345</v>
      </c>
      <c r="B5" s="20" t="s">
        <v>82</v>
      </c>
    </row>
    <row r="6" spans="1:2" x14ac:dyDescent="0.3">
      <c r="A6" s="3">
        <v>1346</v>
      </c>
      <c r="B6" s="20" t="s">
        <v>84</v>
      </c>
    </row>
    <row r="7" spans="1:2" x14ac:dyDescent="0.3">
      <c r="A7" s="3">
        <v>1347</v>
      </c>
      <c r="B7" s="20" t="s">
        <v>86</v>
      </c>
    </row>
    <row r="8" spans="1:2" x14ac:dyDescent="0.3">
      <c r="A8" s="3">
        <v>1348</v>
      </c>
      <c r="B8" s="20" t="s">
        <v>88</v>
      </c>
    </row>
    <row r="9" spans="1:2" x14ac:dyDescent="0.3">
      <c r="A9" s="3">
        <v>1349</v>
      </c>
      <c r="B9" s="20" t="s">
        <v>90</v>
      </c>
    </row>
    <row r="10" spans="1:2" x14ac:dyDescent="0.3">
      <c r="A10" s="3">
        <v>1350</v>
      </c>
      <c r="B10" s="20" t="s">
        <v>92</v>
      </c>
    </row>
    <row r="11" spans="1:2" x14ac:dyDescent="0.3">
      <c r="A11" s="3">
        <v>1351</v>
      </c>
      <c r="B11" s="20" t="s">
        <v>94</v>
      </c>
    </row>
    <row r="12" spans="1:2" x14ac:dyDescent="0.3">
      <c r="A12" s="3">
        <v>1352</v>
      </c>
      <c r="B12" s="20" t="s">
        <v>96</v>
      </c>
    </row>
    <row r="13" spans="1:2" x14ac:dyDescent="0.3">
      <c r="A13" s="3">
        <v>1353</v>
      </c>
      <c r="B13" s="20" t="s">
        <v>97</v>
      </c>
    </row>
    <row r="14" spans="1:2" x14ac:dyDescent="0.3">
      <c r="A14" s="3">
        <v>1354</v>
      </c>
      <c r="B14" s="20" t="s">
        <v>98</v>
      </c>
    </row>
    <row r="15" spans="1:2" x14ac:dyDescent="0.3">
      <c r="A15" s="3">
        <v>1355</v>
      </c>
      <c r="B15" s="20" t="s">
        <v>100</v>
      </c>
    </row>
    <row r="16" spans="1:2" x14ac:dyDescent="0.3">
      <c r="A16" s="3">
        <v>1356</v>
      </c>
      <c r="B16" s="20" t="s">
        <v>102</v>
      </c>
    </row>
    <row r="17" spans="1:2" x14ac:dyDescent="0.3">
      <c r="A17" s="3">
        <v>1357</v>
      </c>
      <c r="B17" s="20" t="s">
        <v>105</v>
      </c>
    </row>
    <row r="18" spans="1:2" x14ac:dyDescent="0.3">
      <c r="A18" s="3">
        <v>1358</v>
      </c>
      <c r="B18" s="20" t="s">
        <v>107</v>
      </c>
    </row>
    <row r="19" spans="1:2" x14ac:dyDescent="0.3">
      <c r="A19" s="3">
        <v>1359</v>
      </c>
      <c r="B19" s="20" t="s">
        <v>109</v>
      </c>
    </row>
    <row r="20" spans="1:2" x14ac:dyDescent="0.3">
      <c r="A20" s="3">
        <v>1360</v>
      </c>
      <c r="B20" s="20" t="s">
        <v>111</v>
      </c>
    </row>
    <row r="21" spans="1:2" x14ac:dyDescent="0.3">
      <c r="A21" s="3">
        <v>1361</v>
      </c>
      <c r="B21" s="20" t="s">
        <v>113</v>
      </c>
    </row>
    <row r="22" spans="1:2" x14ac:dyDescent="0.3">
      <c r="A22" s="3">
        <v>1362</v>
      </c>
      <c r="B22" s="20" t="s">
        <v>115</v>
      </c>
    </row>
    <row r="23" spans="1:2" x14ac:dyDescent="0.3">
      <c r="A23" s="3">
        <v>1363</v>
      </c>
      <c r="B23" s="20" t="s">
        <v>117</v>
      </c>
    </row>
    <row r="24" spans="1:2" x14ac:dyDescent="0.3">
      <c r="A24" s="3">
        <v>1364</v>
      </c>
      <c r="B24" s="20" t="s">
        <v>119</v>
      </c>
    </row>
    <row r="25" spans="1:2" x14ac:dyDescent="0.3">
      <c r="A25" s="3">
        <v>1365</v>
      </c>
      <c r="B25" s="20" t="s">
        <v>121</v>
      </c>
    </row>
    <row r="26" spans="1:2" x14ac:dyDescent="0.3">
      <c r="A26" s="3">
        <v>1366</v>
      </c>
      <c r="B26" s="20" t="s">
        <v>123</v>
      </c>
    </row>
    <row r="27" spans="1:2" x14ac:dyDescent="0.3">
      <c r="A27" s="3">
        <v>1367</v>
      </c>
      <c r="B27" s="20" t="s">
        <v>125</v>
      </c>
    </row>
    <row r="28" spans="1:2" x14ac:dyDescent="0.3">
      <c r="A28" s="3">
        <v>1368</v>
      </c>
      <c r="B28" s="20" t="s">
        <v>127</v>
      </c>
    </row>
    <row r="29" spans="1:2" x14ac:dyDescent="0.3">
      <c r="A29" s="3">
        <v>1369</v>
      </c>
      <c r="B29" s="20" t="s">
        <v>129</v>
      </c>
    </row>
    <row r="30" spans="1:2" x14ac:dyDescent="0.3">
      <c r="A30" s="3">
        <v>1370</v>
      </c>
      <c r="B30" s="20" t="s">
        <v>131</v>
      </c>
    </row>
    <row r="31" spans="1:2" x14ac:dyDescent="0.3">
      <c r="A31" s="3">
        <v>1371</v>
      </c>
      <c r="B31" s="20" t="s">
        <v>133</v>
      </c>
    </row>
    <row r="32" spans="1:2" x14ac:dyDescent="0.3">
      <c r="A32" s="3">
        <v>1372</v>
      </c>
      <c r="B32" s="20" t="s">
        <v>107</v>
      </c>
    </row>
    <row r="33" spans="1:2" x14ac:dyDescent="0.3">
      <c r="A33" s="3">
        <v>1373</v>
      </c>
      <c r="B33" s="20" t="s">
        <v>136</v>
      </c>
    </row>
    <row r="34" spans="1:2" x14ac:dyDescent="0.3">
      <c r="A34" s="3">
        <v>834</v>
      </c>
      <c r="B34" s="20" t="s">
        <v>37</v>
      </c>
    </row>
    <row r="35" spans="1:2" x14ac:dyDescent="0.3">
      <c r="A35" s="3">
        <v>373</v>
      </c>
      <c r="B35" s="20" t="s">
        <v>139</v>
      </c>
    </row>
    <row r="36" spans="1:2" x14ac:dyDescent="0.3">
      <c r="A36" s="3">
        <v>1338</v>
      </c>
      <c r="B36" s="20" t="s">
        <v>141</v>
      </c>
    </row>
    <row r="37" spans="1:2" x14ac:dyDescent="0.3">
      <c r="A37" s="3">
        <v>1377</v>
      </c>
      <c r="B37" s="20" t="s">
        <v>32</v>
      </c>
    </row>
    <row r="38" spans="1:2" x14ac:dyDescent="0.3">
      <c r="A38" s="3">
        <v>1378</v>
      </c>
      <c r="B38" s="20" t="s">
        <v>144</v>
      </c>
    </row>
    <row r="39" spans="1:2" x14ac:dyDescent="0.3">
      <c r="A39" s="3">
        <v>658</v>
      </c>
      <c r="B39" s="20" t="s">
        <v>146</v>
      </c>
    </row>
    <row r="40" spans="1:2" x14ac:dyDescent="0.3">
      <c r="A40" s="3">
        <v>991</v>
      </c>
      <c r="B40" s="20" t="s">
        <v>148</v>
      </c>
    </row>
    <row r="41" spans="1:2" x14ac:dyDescent="0.3">
      <c r="A41" s="3">
        <v>823</v>
      </c>
      <c r="B41" s="20" t="s">
        <v>150</v>
      </c>
    </row>
    <row r="42" spans="1:2" x14ac:dyDescent="0.3">
      <c r="A42" s="3">
        <v>1748</v>
      </c>
      <c r="B42" s="20" t="s">
        <v>152</v>
      </c>
    </row>
    <row r="43" spans="1:2" x14ac:dyDescent="0.3">
      <c r="A43" s="3">
        <v>1747</v>
      </c>
      <c r="B43" s="20" t="s">
        <v>44</v>
      </c>
    </row>
    <row r="44" spans="1:2" x14ac:dyDescent="0.3">
      <c r="A44" s="3">
        <v>1741</v>
      </c>
      <c r="B44" s="20" t="s">
        <v>31</v>
      </c>
    </row>
    <row r="45" spans="1:2" x14ac:dyDescent="0.3">
      <c r="A45" s="3">
        <v>1749</v>
      </c>
      <c r="B45" s="20" t="s">
        <v>192</v>
      </c>
    </row>
    <row r="46" spans="1:2" x14ac:dyDescent="0.3">
      <c r="A46" s="3">
        <v>343</v>
      </c>
      <c r="B46" s="20" t="s">
        <v>193</v>
      </c>
    </row>
    <row r="47" spans="1:2" x14ac:dyDescent="0.3">
      <c r="A47" s="3">
        <v>1750</v>
      </c>
      <c r="B47" s="20" t="s">
        <v>194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F64D0-B65C-4E15-9207-3568B86BD69C}">
  <dimension ref="A1:B3"/>
  <sheetViews>
    <sheetView zoomScale="115" zoomScaleNormal="115" workbookViewId="0">
      <selection activeCell="G52" sqref="G52"/>
    </sheetView>
  </sheetViews>
  <sheetFormatPr defaultRowHeight="14.4" x14ac:dyDescent="0.3"/>
  <cols>
    <col min="1" max="1" width="8.88671875" bestFit="1" customWidth="1"/>
    <col min="2" max="2" width="16.33203125" customWidth="1"/>
    <col min="3" max="3" width="11.88671875" bestFit="1" customWidth="1"/>
  </cols>
  <sheetData>
    <row r="1" spans="1:2" ht="24.6" customHeight="1" x14ac:dyDescent="0.3">
      <c r="A1" s="29" t="s">
        <v>195</v>
      </c>
      <c r="B1" s="29" t="s">
        <v>77</v>
      </c>
    </row>
    <row r="2" spans="1:2" x14ac:dyDescent="0.3">
      <c r="A2" s="3">
        <v>1</v>
      </c>
      <c r="B2" s="3" t="s">
        <v>33</v>
      </c>
    </row>
    <row r="3" spans="1:2" x14ac:dyDescent="0.3">
      <c r="A3" s="3">
        <v>2</v>
      </c>
      <c r="B3" s="3" t="s">
        <v>80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A028C-FAAC-496D-BE78-5974EB91D331}">
  <dimension ref="A1:C1"/>
  <sheetViews>
    <sheetView workbookViewId="0">
      <selection activeCell="C63" sqref="C63"/>
    </sheetView>
  </sheetViews>
  <sheetFormatPr defaultRowHeight="14.4" x14ac:dyDescent="0.3"/>
  <cols>
    <col min="1" max="1" width="25.5546875" customWidth="1"/>
    <col min="2" max="2" width="44.44140625" customWidth="1"/>
    <col min="3" max="3" width="63.109375" customWidth="1"/>
  </cols>
  <sheetData>
    <row r="1" spans="1:3" x14ac:dyDescent="0.3">
      <c r="A1" s="2" t="s">
        <v>199</v>
      </c>
      <c r="B1" s="2" t="s">
        <v>200</v>
      </c>
      <c r="C1" s="2" t="s">
        <v>201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3DA39-F5EF-4C41-81DD-055C33651412}">
  <dimension ref="A1:D1"/>
  <sheetViews>
    <sheetView workbookViewId="0">
      <selection activeCell="B12" sqref="B12"/>
    </sheetView>
  </sheetViews>
  <sheetFormatPr defaultRowHeight="14.4" x14ac:dyDescent="0.3"/>
  <cols>
    <col min="1" max="1" width="20.109375" customWidth="1"/>
    <col min="2" max="2" width="31.88671875" customWidth="1"/>
    <col min="3" max="3" width="37.109375" customWidth="1"/>
    <col min="4" max="4" width="44.6640625" customWidth="1"/>
  </cols>
  <sheetData>
    <row r="1" spans="1:4" ht="30" customHeight="1" x14ac:dyDescent="0.3">
      <c r="A1" s="2" t="s">
        <v>195</v>
      </c>
      <c r="B1" s="2" t="s">
        <v>196</v>
      </c>
      <c r="C1" s="25" t="s">
        <v>197</v>
      </c>
      <c r="D1" s="26" t="s">
        <v>198</v>
      </c>
    </row>
  </sheetData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6E545EC638D0643BD4FC4309AE781E9" ma:contentTypeVersion="9" ma:contentTypeDescription="Создание документа." ma:contentTypeScope="" ma:versionID="4166ca5eb8474c2d52b1063ff0dd7a95">
  <xsd:schema xmlns:xsd="http://www.w3.org/2001/XMLSchema" xmlns:xs="http://www.w3.org/2001/XMLSchema" xmlns:p="http://schemas.microsoft.com/office/2006/metadata/properties" xmlns:ns2="83436558-f316-4017-a642-00b22f46d7ac" xmlns:ns3="41701b6f-e099-46ea-a3e7-883fda740bf3" targetNamespace="http://schemas.microsoft.com/office/2006/metadata/properties" ma:root="true" ma:fieldsID="4e75eddf72c58dc6a2433f9a8cf3ea0f" ns2:_="" ns3:_="">
    <xsd:import namespace="83436558-f316-4017-a642-00b22f46d7ac"/>
    <xsd:import namespace="41701b6f-e099-46ea-a3e7-883fda740b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_x041f__x0440__x0438__x043c__x0435__x0447__x0430__x043d__x0438__x044f_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36558-f316-4017-a642-00b22f46d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x041f__x0440__x0438__x043c__x0435__x0447__x0430__x043d__x0438__x044f_" ma:index="10" nillable="true" ma:displayName="Примечания" ma:format="Dropdown" ma:internalName="_x041f__x0440__x0438__x043c__x0435__x0447__x0430__x043d__x0438__x044f_">
      <xsd:simpleType>
        <xsd:restriction base="dms:Note">
          <xsd:maxLength value="255"/>
        </xsd:restriction>
      </xsd:simpleType>
    </xsd:element>
    <xsd:element name="lcf76f155ced4ddcb4097134ff3c332f" ma:index="12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4894c539-037d-4952-9f74-6cd15d93af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701b6f-e099-46ea-a3e7-883fda740bf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0fe5c0d7-b470-4d03-8fc7-b2611b827155}" ma:internalName="TaxCatchAll" ma:showField="CatchAllData" ma:web="41701b6f-e099-46ea-a3e7-883fda740b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41f__x0440__x0438__x043c__x0435__x0447__x0430__x043d__x0438__x044f_ xmlns="83436558-f316-4017-a642-00b22f46d7ac" xsi:nil="true"/>
    <lcf76f155ced4ddcb4097134ff3c332f xmlns="83436558-f316-4017-a642-00b22f46d7ac">
      <Terms xmlns="http://schemas.microsoft.com/office/infopath/2007/PartnerControls"/>
    </lcf76f155ced4ddcb4097134ff3c332f>
    <TaxCatchAll xmlns="41701b6f-e099-46ea-a3e7-883fda740bf3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09CBB852-B535-48D4-90DE-7363AAED25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436558-f316-4017-a642-00b22f46d7ac"/>
    <ds:schemaRef ds:uri="41701b6f-e099-46ea-a3e7-883fda740b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0D09B5D-28B0-4F12-9A9F-CB34462377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65EAE3-9FF1-4610-AF8F-2C5AD0188605}">
  <ds:schemaRefs>
    <ds:schemaRef ds:uri="http://schemas.microsoft.com/office/2006/metadata/properties"/>
    <ds:schemaRef ds:uri="http://schemas.microsoft.com/office/infopath/2007/PartnerControls"/>
    <ds:schemaRef ds:uri="83436558-f316-4017-a642-00b22f46d7ac"/>
    <ds:schemaRef ds:uri="41701b6f-e099-46ea-a3e7-883fda740bf3"/>
  </ds:schemaRefs>
</ds:datastoreItem>
</file>

<file path=customXml/itemProps4.xml><?xml version="1.0" encoding="utf-8"?>
<ds:datastoreItem xmlns:ds="http://schemas.openxmlformats.org/officeDocument/2006/customXml" ds:itemID="{8C2A78E4-E571-418C-9457-F271DEF41B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SpecificationWork</vt:lpstr>
      <vt:lpstr>HandbookBrand</vt:lpstr>
      <vt:lpstr>HandbookSupplier</vt:lpstr>
      <vt:lpstr>HandbookUnit</vt:lpstr>
      <vt:lpstr>СolumnDescriptions</vt:lpstr>
      <vt:lpstr>ConfigJSON</vt:lpstr>
    </vt:vector>
  </TitlesOfParts>
  <Manager/>
  <Company>ООО Горизонт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Проект 1/2024. Северсталь-Заказ №2</dc:subject>
  <dc:creator>Иван Кукушкин</dc:creator>
  <cp:keywords/>
  <dc:description/>
  <cp:lastModifiedBy>Иван Кукушкин</cp:lastModifiedBy>
  <cp:revision>3</cp:revision>
  <dcterms:created xsi:type="dcterms:W3CDTF">2022-08-15T07:15:08Z</dcterms:created>
  <dcterms:modified xsi:type="dcterms:W3CDTF">2025-10-15T07:25:35Z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0x010100B6E545EC638D0643BD4FC4309AE781E9</vt:lpwstr>
  </property>
  <property fmtid="{D5CDD505-2E9C-101B-9397-08002B2CF9AE}" pid="3" name="MediaServiceImageTags">
    <vt:lpwstr/>
  </property>
  <property fmtid="{D5CDD505-2E9C-101B-9397-08002B2CF9AE}" pid="4" name="Order">
    <vt:r8>44800</vt:r8>
  </property>
  <property fmtid="{D5CDD505-2E9C-101B-9397-08002B2CF9AE}" pid="5" name="Примечание">
    <vt:lpwstr>Ревизия rev.02 версия v01 стала основным исходным материалом для подготовки СВОДНОГО документа - "30__Специффикация-МАС - SummaryTable rev.10". Данная ревизия + версия - это окончательные файлы спецификаций. Даже если необходимо внести изменения, то они вносятся в данные файлы без изменений ревизии и версии. ВНИМАТЕЛЬНО смотрите комментарии !</vt:lpwstr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_SourceUrl">
    <vt:lpwstr/>
  </property>
  <property fmtid="{D5CDD505-2E9C-101B-9397-08002B2CF9AE}" pid="11" name="_SharedFileIndex">
    <vt:lpwstr/>
  </property>
  <property fmtid="{D5CDD505-2E9C-101B-9397-08002B2CF9AE}" pid="12" name="ComplianceAssetId">
    <vt:lpwstr/>
  </property>
  <property fmtid="{D5CDD505-2E9C-101B-9397-08002B2CF9AE}" pid="13" name="TemplateUrl">
    <vt:lpwstr/>
  </property>
</Properties>
</file>