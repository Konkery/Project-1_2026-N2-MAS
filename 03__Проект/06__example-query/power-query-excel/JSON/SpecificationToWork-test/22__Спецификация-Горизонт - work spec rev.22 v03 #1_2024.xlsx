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PowerQueryScript/Example/power query - excel/JSON/SpecificationToWork-test/"/>
    </mc:Choice>
  </mc:AlternateContent>
  <xr:revisionPtr revIDLastSave="7794" documentId="8_{4CB8D776-9D13-4DE4-B756-EA1E70EA4EDB}" xr6:coauthVersionLast="47" xr6:coauthVersionMax="47" xr10:uidLastSave="{17616250-9B99-436A-B69F-F042531F1A44}"/>
  <bookViews>
    <workbookView xWindow="27852" yWindow="5820" windowWidth="18132" windowHeight="19488" tabRatio="672" activeTab="7" xr2:uid="{00000000-000D-0000-FFFF-FFFF00000000}"/>
  </bookViews>
  <sheets>
    <sheet name="SpecificationWork_1" sheetId="25" r:id="rId1"/>
    <sheet name="SpecificationWork_2" sheetId="29" r:id="rId2"/>
    <sheet name="Pivot" sheetId="37" r:id="rId3"/>
    <sheet name="HandbookProject" sheetId="27" state="hidden" r:id="rId4"/>
    <sheet name="HandbookBrand" sheetId="22" state="hidden" r:id="rId5"/>
    <sheet name="HandbookSupplier" sheetId="23" state="hidden" r:id="rId6"/>
    <sheet name="HandbookUnit" sheetId="24" state="hidden" r:id="rId7"/>
    <sheet name="TableSchema" sheetId="18" r:id="rId8"/>
    <sheet name="ConfigJSON" sheetId="17" r:id="rId9"/>
  </sheets>
  <definedNames>
    <definedName name="_xlcn.WorksheetConnection_ШаблонспецификацияworkspecN2025.xlsxTabSpecificationWork_11" hidden="1">TabSpecificationWork_1[]</definedName>
    <definedName name="_xlcn.WorksheetConnection_ШаблонспецификацияworkspecN2025.xlsxTabSpecificationWork_21" hidden="1">TabSpecificationWork_2[]</definedName>
    <definedName name="_xlnm._FilterDatabase" localSheetId="1" hidden="1">SpecificationWork_2!$A$1:$D$5</definedName>
    <definedName name="ExternalData_1" localSheetId="4" hidden="1">HandbookBrand!$A$1:$B$88</definedName>
    <definedName name="ExternalData_1" localSheetId="3" hidden="1">HandbookProject!$A$1:$B$119</definedName>
    <definedName name="ExternalData_1" localSheetId="5" hidden="1">HandbookSupplier!$A$1:$B$48</definedName>
    <definedName name="ExternalData_1" localSheetId="6" hidden="1">HandbookUnit!$A$1:$B$5</definedName>
  </definedNames>
  <calcPr calcId="191028" refMode="R1C1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SpecificationWork_2" name="TabSpecificationWork_2" connection="WorksheetConnection_Шаблон-спецификация work spec ^N2025.xlsx!TabSpecificationWork_2"/>
          <x15:modelTable id="TabSpecificationWork_1" name="TabSpecificationWork_1" connection="WorksheetConnection_Шаблон-спецификация work spec ^N2025.xlsx!TabSpecificationWork_1"/>
        </x15:modelTables>
        <x15:modelRelationships>
          <x15:modelRelationship fromTable="TabSpecificationWork_2" fromColumn="HASH COLLECTION" toTable="TabSpecificationWork_1" toColumn="HASH COLLECT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5" l="1"/>
  <c r="X2" i="25" s="1"/>
  <c r="U3" i="25"/>
  <c r="X3" i="25" s="1"/>
  <c r="U4" i="25"/>
  <c r="X4" i="25" s="1"/>
  <c r="U5" i="25"/>
  <c r="X5" i="25" s="1"/>
  <c r="U6" i="25"/>
  <c r="X6" i="25" s="1"/>
  <c r="U7" i="25"/>
  <c r="X7" i="25" s="1"/>
  <c r="U8" i="25"/>
  <c r="X8" i="25" s="1"/>
  <c r="U9" i="25"/>
  <c r="X9" i="25" s="1"/>
  <c r="U10" i="25"/>
  <c r="X10" i="25" s="1"/>
  <c r="U11" i="25"/>
  <c r="X11" i="25" s="1"/>
  <c r="U12" i="25"/>
  <c r="X12" i="25" s="1"/>
  <c r="H3" i="29"/>
  <c r="M3" i="29" s="1"/>
  <c r="H4" i="29"/>
  <c r="M4" i="29" s="1"/>
  <c r="H5" i="29"/>
  <c r="M5" i="29" s="1"/>
  <c r="H6" i="29"/>
  <c r="M6" i="29" s="1"/>
  <c r="H7" i="29"/>
  <c r="M7" i="29" s="1"/>
  <c r="H8" i="29"/>
  <c r="M8" i="29" s="1"/>
  <c r="H9" i="29"/>
  <c r="M9" i="29" s="1"/>
  <c r="H10" i="29"/>
  <c r="M10" i="29" s="1"/>
  <c r="H11" i="29"/>
  <c r="M11" i="29" s="1"/>
  <c r="H12" i="29"/>
  <c r="M12" i="29" s="1"/>
  <c r="D2" i="25"/>
  <c r="D3" i="25"/>
  <c r="D4" i="25"/>
  <c r="D5" i="25"/>
  <c r="D6" i="25"/>
  <c r="D7" i="25"/>
  <c r="D8" i="25"/>
  <c r="D9" i="25"/>
  <c r="D10" i="25"/>
  <c r="D11" i="25"/>
  <c r="D12" i="25"/>
  <c r="I2" i="25"/>
  <c r="K2" i="25" s="1"/>
  <c r="I3" i="25"/>
  <c r="K3" i="25" s="1"/>
  <c r="I4" i="25"/>
  <c r="K4" i="25" s="1"/>
  <c r="I5" i="25"/>
  <c r="K5" i="25" s="1"/>
  <c r="I6" i="25"/>
  <c r="K6" i="25" s="1"/>
  <c r="I7" i="25"/>
  <c r="K7" i="25" s="1"/>
  <c r="I8" i="25"/>
  <c r="K8" i="25" s="1"/>
  <c r="I9" i="25"/>
  <c r="K9" i="25" s="1"/>
  <c r="I10" i="25"/>
  <c r="K10" i="25" s="1"/>
  <c r="I11" i="25"/>
  <c r="K11" i="25" s="1"/>
  <c r="I12" i="25"/>
  <c r="K12" i="25" s="1"/>
  <c r="H2" i="29"/>
  <c r="M2" i="29" s="1"/>
  <c r="I6" i="29" l="1"/>
  <c r="I12" i="29"/>
  <c r="I5" i="29"/>
  <c r="I4" i="29"/>
  <c r="I9" i="29"/>
  <c r="I8" i="29"/>
  <c r="I7" i="29"/>
  <c r="I3" i="29"/>
  <c r="I11" i="29"/>
  <c r="I10" i="29"/>
  <c r="I2" i="29"/>
  <c r="K2" i="29" s="1"/>
  <c r="N2" i="29" s="1"/>
  <c r="K5" i="29" l="1"/>
  <c r="N5" i="29" s="1"/>
  <c r="K8" i="29"/>
  <c r="N8" i="29" s="1"/>
  <c r="K12" i="29"/>
  <c r="N12" i="29" s="1"/>
  <c r="K6" i="29"/>
  <c r="N6" i="29" s="1"/>
  <c r="K10" i="29"/>
  <c r="N10" i="29" s="1"/>
  <c r="K11" i="29"/>
  <c r="N11" i="29" s="1"/>
  <c r="K3" i="29"/>
  <c r="N3" i="29" s="1"/>
  <c r="K7" i="29"/>
  <c r="N7" i="29" s="1"/>
  <c r="K9" i="29"/>
  <c r="N9" i="29" s="1"/>
  <c r="K4" i="29"/>
  <c r="N4" i="29" s="1"/>
  <c r="A2" i="29" a="1"/>
  <c r="F3" i="29" l="1"/>
  <c r="F4" i="29"/>
  <c r="F5" i="29"/>
  <c r="F6" i="29"/>
  <c r="F11" i="29"/>
  <c r="F7" i="29"/>
  <c r="F8" i="29"/>
  <c r="F9" i="29"/>
  <c r="F10" i="29"/>
  <c r="F12" i="29"/>
  <c r="A2" i="29"/>
  <c r="F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tc={F6344F8B-2B3A-40F5-94E4-16B7A498AB48}</author>
    <author>tc={E3D9B2AC-BF73-467B-B4DB-9A01321331B9}</author>
    <author>tc={8F981E2E-A069-4F7D-B569-584150EAACC6}</author>
    <author>tc={7960CCAA-C85E-4532-A46A-96785E4D240A}</author>
    <author>tc={FE809EA2-7E50-4AEF-ADD4-15BD881CFCA5}</author>
    <author>tc={FE5A4F88-C626-4813-B9F6-AC623AC19292}</author>
    <author>tc={5D52B54C-0708-4CA1-A0BC-47334CF09CE6}</author>
    <author>tc={70842CBF-5120-4049-9941-DC7047DC8A17}</author>
    <author>tc={F4A88E00-01BF-4A9D-BB00-CA966B2636D4}</author>
    <author>tc={890F2321-773B-4860-984E-8BC625841E0A}</author>
    <author>tc={2C22FD44-0F6F-4613-A453-FA7B515CF251}</author>
    <author>tc={BE27801C-0731-473F-8682-66560F0BB1E4}</author>
    <author>tc={BF2CA57A-7DA7-402D-98F7-C3C603B6B406}</author>
    <author>tc={04599C53-D9FA-49F2-923B-EDB75AD601A2}</author>
    <author>tc={6F577B15-DEC3-4280-BB97-E6CA976D117B}</author>
    <author>tc={558DC68A-31E6-40BF-8F27-3467FE25D98D}</author>
    <author>tc={397FFE0C-F713-4E2F-B787-8428280F9203}</author>
    <author>tc={635CA893-B3CA-47BA-8F79-B4074D2943AC}</author>
    <author>tc={8620B4C4-3914-40DF-A218-4F9092ACBCCC}</author>
    <author>tc={0B7C2C1D-3BA7-464A-8F40-BB11C8377876}</author>
    <author>tc={A6B4B6DF-DD2A-463F-A7C3-7F87B17D3385}</author>
    <author>tc={2815824D-89DB-4994-9B34-7D12489A7D8C}</author>
    <author>tc={BC32CEEA-6CCC-42A0-9D55-CD12DF19372E}</author>
    <author>tc={1A2ACEFF-E713-463A-9D5B-54184A4CD29D}</author>
    <author>tc={6339678F-4C5D-4328-BE94-531FC243752F}</author>
    <author>tc={9A7C07C3-6A21-4EE8-BEF0-B48F9D85045A}</author>
    <author>tc={CEE886A3-6613-4B66-8B1E-E7BC6BC9CB33}</author>
    <author>tc={FC3D7DDB-A80F-4FFB-9267-3E86088C3010}</author>
  </authors>
  <commentList>
    <comment ref="A1" authorId="0" shapeId="0" xr:uid="{F6344F8B-2B3A-40F5-94E4-16B7A498AB4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Уникальный порядковый номер позиции</t>
      </text>
    </comment>
    <comment ref="B1" authorId="1" shapeId="0" xr:uid="{E3D9B2AC-BF73-467B-B4DB-9A01321331B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Порядковый номер позиции из спецификации заказчика</t>
      </text>
    </comment>
    <comment ref="C1" authorId="2" shapeId="0" xr:uid="{8F981E2E-A069-4F7D-B569-584150EAACC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Полный номер проекта из таблицы реестр проектов</t>
      </text>
    </comment>
    <comment ref="D1" authorId="3" shapeId="0" xr:uid="{7960CCAA-C85E-4532-A46A-96785E4D240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ВЫЧИСЛЯЕМЫЙ СТОЛБЕЦ, РУКАМИ НЕ ЗАПОЛНЯТЬ ! Номер заказа в рамках проекта из списка заказов</t>
      </text>
    </comment>
    <comment ref="E1" authorId="4" shapeId="0" xr:uid="{FE809EA2-7E50-4AEF-ADD4-15BD881CFCA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Версия коллекции - число. Под КОЛЛЕКЦИЕЙ понимается объект данных который описывает стока, она же одна запись датасета</t>
      </text>
    </comment>
    <comment ref="F1" authorId="5" shapeId="0" xr:uid="{FE5A4F88-C626-4813-B9F6-AC623AC1929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комплекта</t>
      </text>
    </comment>
    <comment ref="G1" authorId="6" shapeId="0" xr:uid="{5D52B54C-0708-4CA1-A0BC-47334CF09CE6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Свободный (число или текст - латиницей) идентификатор комплекта
</t>
      </text>
    </comment>
    <comment ref="H1" authorId="7" shapeId="0" xr:uid="{70842CBF-5120-4049-9941-DC7047DC8A1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Порядковый номер позиции в комплекте</t>
      </text>
    </comment>
    <comment ref="I1" authorId="8" shapeId="0" xr:uid="{F4A88E00-01BF-4A9D-BB00-CA966B2636D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Полный порядковый номер позиции, состоящий из номер комплекта и номера порядкового в комплекте</t>
      </text>
    </comment>
    <comment ref="J1" authorId="9" shapeId="0" xr:uid="{890F2321-773B-4860-984E-8BC625841E0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поставки позиции в данном заказе</t>
      </text>
    </comment>
    <comment ref="K1" authorId="10" shapeId="0" xr:uid="{2C22FD44-0F6F-4613-A453-FA7B515CF25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Уникальное хэш значение, характеризуемое текущую коллекцию</t>
      </text>
    </comment>
    <comment ref="L1" authorId="11" shapeId="0" xr:uid="{BE27801C-0731-473F-8682-66560F0BB1E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Наименование позиции</t>
      </text>
    </comment>
    <comment ref="M1" authorId="12" shapeId="0" xr:uid="{BF2CA57A-7DA7-402D-98F7-C3C603B6B40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Технические характеристики позиции</t>
      </text>
    </comment>
    <comment ref="N1" authorId="13" shapeId="0" xr:uid="{04599C53-D9FA-49F2-923B-EDB75AD601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бренда производителя</t>
      </text>
    </comment>
    <comment ref="O1" authorId="14" shapeId="0" xr:uid="{6F577B15-DEC3-4280-BB97-E6CA976D11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поставщика</t>
      </text>
    </comment>
    <comment ref="P1" authorId="15" shapeId="0" xr:uid="{558DC68A-31E6-40BF-8F27-3467FE25D98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Артикул поставщика</t>
      </text>
    </comment>
    <comment ref="Q1" authorId="16" shapeId="0" xr:uid="{397FFE0C-F713-4E2F-B787-8428280F920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Артикул МАС/Горизонт</t>
      </text>
    </comment>
    <comment ref="R1" authorId="17" shapeId="0" xr:uid="{635CA893-B3CA-47BA-8F79-B4074D2943A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Единицы измерения из справочника</t>
      </text>
    </comment>
    <comment ref="S1" authorId="18" shapeId="0" xr:uid="{8620B4C4-3914-40DF-A218-4F9092ACBCC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единиц данной позиции в комплекте</t>
      </text>
    </comment>
    <comment ref="T1" authorId="19" shapeId="0" xr:uid="{0B7C2C1D-3BA7-464A-8F40-BB11C83778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комплектов в поставке</t>
      </text>
    </comment>
    <comment ref="U1" authorId="20" shapeId="0" xr:uid="{A6B4B6DF-DD2A-463F-A7C3-7F87B17D338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Итоговое количество по данной позиции в поставке</t>
      </text>
    </comment>
    <comment ref="V1" authorId="21" shapeId="0" xr:uid="{2815824D-89DB-4994-9B34-7D12489A7D8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в наличии у поставщика</t>
      </text>
    </comment>
    <comment ref="W1" authorId="22" shapeId="0" xr:uid="{BC32CEEA-6CCC-42A0-9D55-CD12DF19372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Цена за единицу - закупка</t>
      </text>
    </comment>
    <comment ref="X1" authorId="23" shapeId="0" xr:uid="{1A2ACEFF-E713-463A-9D5B-54184A4CD29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Стоимость - закупка</t>
      </text>
    </comment>
    <comment ref="Y1" authorId="24" shapeId="0" xr:uid="{6339678F-4C5D-4328-BE94-531FC243752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Идентификатор спецификации поставщика/дистрибьютера, на основе которой сформирована цена позиции. Из справочника ТКП поставщиков</t>
      </text>
    </comment>
    <comment ref="Z1" authorId="25" shapeId="0" xr:uid="{9A7C07C3-6A21-4EE8-BEF0-B48F9D85045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Комментарии внутренний - ТОЛЬКО ДЛЯ ВНУТРЕННЕГО СЛУЖЕБНОГО ПОЛЬЗОВАНИЯ. Полезная, дополнительная информация по позиции в свободной форме</t>
      </text>
    </comment>
    <comment ref="AA1" authorId="26" shapeId="0" xr:uid="{CEE886A3-6613-4B66-8B1E-E7BC6BC9CB3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Прямая ссылка на позицию на сайте поставщика</t>
      </text>
    </comment>
    <comment ref="AB1" authorId="27" shapeId="0" xr:uid="{FC3D7DDB-A80F-4FFB-9267-3E86088C30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Прямая ссылка на позицию на сайте производителя/поставщика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tc={309647A7-39FA-4D1C-9D34-F6589AA872B5}</author>
    <author>tc={CF0B5015-4158-4820-9F26-C26499DBA742}</author>
    <author>tc={21F0EC38-F450-4B3D-9F20-24E0A5086D76}</author>
    <author>tc={80AA62D7-622C-4FD5-BD05-73196064F988}</author>
    <author>tc={FD29CBDA-5DC6-4B24-8102-5F8F7BB14035}</author>
    <author>tc={63A27906-F095-41CD-A95D-65E7066FF0CA}</author>
    <author>tc={1C6B5050-6CB5-4334-B0BF-D352BE35FCDD}</author>
    <author>tc={9096AD6D-0080-4F91-9D46-8ADB24D70A9C}</author>
    <author>tc={A186831B-F51A-48CE-8D1F-DD0498716A32}</author>
    <author>tc={9B32C0B5-C05B-484C-A693-11A0F23F77D8}</author>
    <author>tc={B42D3B41-058E-4983-94A4-8C60C7C63672}</author>
    <author>tc={56C833C4-D222-48BD-9788-D14B6BE0D29E}</author>
    <author>tc={F8030F50-FD87-4745-A651-025560126A86}</author>
  </authors>
  <commentList>
    <comment ref="F1" authorId="0" shapeId="0" xr:uid="{309647A7-39FA-4D1C-9D34-F6589AA872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Уникальное хэш значение, характеризуемое текущую коллекцию</t>
      </text>
    </comment>
    <comment ref="G1" authorId="1" shapeId="0" xr:uid="{CF0B5015-4158-4820-9F26-C26499DBA74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Коэффициент наценки</t>
      </text>
    </comment>
    <comment ref="H1" authorId="2" shapeId="0" xr:uid="{21F0EC38-F450-4B3D-9F20-24E0A5086D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Цена за единицу - реализация
Автоматически заполняемый столбец</t>
      </text>
    </comment>
    <comment ref="I1" authorId="3" shapeId="0" xr:uid="{80AA62D7-622C-4FD5-BD05-73196064F98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Стоимость - реализация
Автоматически заполняемый столбец.</t>
      </text>
    </comment>
    <comment ref="J1" authorId="4" shapeId="0" xr:uid="{FD29CBDA-5DC6-4B24-8102-5F8F7BB1403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Скидка в процентах</t>
      </text>
    </comment>
    <comment ref="K1" authorId="5" shapeId="0" xr:uid="{63A27906-F095-41CD-A95D-65E7066FF0C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Скидка в процентах
Автоматически заполняемый столбец.</t>
      </text>
    </comment>
    <comment ref="L1" authorId="6" shapeId="0" xr:uid="{1C6B5050-6CB5-4334-B0BF-D352BE35FCD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Колонка зарезервирована для будущих изменений в методиках рассчета цены/стоимости</t>
      </text>
    </comment>
    <comment ref="M1" authorId="7" shapeId="0" xr:uid="{9096AD6D-0080-4F91-9D46-8ADB24D70A9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цена по позиции - реализация
Автоматически заполняемый столбец</t>
      </text>
    </comment>
    <comment ref="N1" authorId="8" shapeId="0" xr:uid="{A186831B-F51A-48CE-8D1F-DD0498716A3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стоимость по позиции - реализация
Автоматически заполняемый столбец
</t>
      </text>
    </comment>
    <comment ref="O1" authorId="9" shapeId="0" xr:uid="{9B32C0B5-C05B-484C-A693-11A0F23F77D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Длительность в календарных днях реализации товара или услуги</t>
      </text>
    </comment>
    <comment ref="P1" authorId="10" shapeId="0" xr:uid="{B42D3B41-058E-4983-94A4-8C60C7C6367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закупки позиции в данном заказе</t>
      </text>
    </comment>
    <comment ref="Q1" authorId="11" shapeId="0" xr:uid="{56C833C4-D222-48BD-9788-D14B6BE0D29E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 пост-модификации коммерческих данных данной коллекции </t>
      </text>
    </comment>
    <comment ref="R1" authorId="12" shapeId="0" xr:uid="{F8030F50-FD87-4745-A651-025560126A8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Комментарии, открытый - для заказчика, полезная информация по позиции в свободной форме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tc={467C0B6F-9F95-4DB0-BF80-F675DE91455F}</author>
    <author>tc={4CFBF6B6-7EFD-4069-8DE5-8B3A382DE8B5}</author>
    <author>tc={F53B5208-810B-4812-85B6-273910B12FA2}</author>
    <author>tc={402736B6-8AA9-44F1-87AF-DCFCB998D9A2}</author>
    <author>tc={73665B3F-01E8-4647-B7CF-D2ADCE5DFF7A}</author>
    <author>tc={BF2E705E-F92F-4135-963A-1D08D1A86B10}</author>
    <author>tc={BA3FC78D-DF56-4299-98BA-EF543AEDDE96}</author>
    <author>tc={C4590EF0-B4FA-4AF9-B9E3-97C4D5D4FB74}</author>
    <author>tc={1B29FCF3-2C93-496F-9F2F-E1BE3F0529EE}</author>
    <author>tc={38ECDC56-C1B3-4279-9135-C2F194AF05C2}</author>
    <author>tc={0E01910B-EABC-47EE-A6F2-36B241839F32}</author>
    <author>tc={2542A1D5-C697-4EB9-ADE5-2F46F073681A}</author>
  </authors>
  <commentList>
    <comment ref="C1" authorId="0" shapeId="0" xr:uid="{467C0B6F-9F95-4DB0-BF80-F675DE91455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Рабочее наименование столбца</t>
      </text>
    </comment>
    <comment ref="D1" authorId="1" shapeId="0" xr:uid="{4CFBF6B6-7EFD-4069-8DE5-8B3A382DE8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>
      </text>
    </comment>
    <comment ref="E1" authorId="2" shapeId="0" xr:uid="{F53B5208-810B-4812-85B6-273910B12F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столбца, который необходимо задать вконфигурации JSON. Данный параметр отработает при валидации таблицы</t>
      </text>
    </comment>
    <comment ref="F1" authorId="3" shapeId="0" xr:uid="{402736B6-8AA9-44F1-87AF-DCFCB998D9A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Диапазон допустимых значений
</t>
      </text>
    </comment>
    <comment ref="G1" authorId="4" shapeId="0" xr:uid="{73665B3F-01E8-4647-B7CF-D2ADCE5DF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того что столбец должен хранить только уникальные значения</t>
      </text>
    </comment>
    <comment ref="H1" authorId="5" shapeId="0" xr:uid="{BF2E705E-F92F-4135-963A-1D08D1A86B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допустимости ‘null’ (т.е. пустых) значения в данном столбце</t>
      </text>
    </comment>
    <comment ref="I1" authorId="6" shapeId="0" xr:uid="{BA3FC78D-DF56-4299-98BA-EF543AEDDE9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 Пользователь не должен руками вносить значения</t>
      </text>
    </comment>
    <comment ref="J1" authorId="7" shapeId="0" xr:uid="{C4590EF0-B4FA-4AF9-B9E3-97C4D5D4FB7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>
      </text>
    </comment>
    <comment ref="K1" authorId="8" shapeId="0" xr:uid="{1B29FCF3-2C93-496F-9F2F-E1BE3F0529E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>
      </text>
    </comment>
    <comment ref="M1" authorId="9" shapeId="0" xr:uid="{38ECDC56-C1B3-4279-9135-C2F194AF05C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>
      </text>
    </comment>
    <comment ref="P1" authorId="10" shapeId="0" xr:uid="{0E01910B-EABC-47EE-A6F2-36B241839F3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Включить перенос текста</t>
      </text>
    </comment>
    <comment ref="Q1" authorId="11" shapeId="0" xr:uid="{2542A1D5-C697-4EB9-ADE5-2F46F073681A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поясняющий смысл хранимых в столбце данных, также ряд ограничений связанных с ним и ряд другой информации.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tc={677E766F-DCD2-40C5-BCF6-694B76559E7B}</author>
    <author>tc={9097B5E4-5BB8-495D-920F-57E4FE5CA3D9}</author>
    <author>tc={EAFE6082-86D5-4614-8F32-BA64CCE0A820}</author>
    <author>tc={324BD8BD-4E4A-4D8A-8018-FCE55CC73CF0}</author>
  </authors>
  <commentList>
    <comment ref="A1" authorId="0" shapeId="0" xr:uid="{677E766F-DCD2-40C5-BCF6-694B76559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097B5E4-5BB8-495D-920F-57E4FE5CA3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EAFE6082-86D5-4614-8F32-BA64CCE0A82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324BD8BD-4E4A-4D8A-8018-FCE55CC73CF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C4766-FE53-4913-87C5-FA57CF980B52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033BA-DA1B-4D40-B043-2A7725E1A0F3}" name="WorksheetConnection_Шаблон-спецификация work spec ^N2025.xlsx!TabSpecificationWork_1" type="102" refreshedVersion="8" minRefreshableVersion="5">
    <extLst>
      <ext xmlns:x15="http://schemas.microsoft.com/office/spreadsheetml/2010/11/main" uri="{DE250136-89BD-433C-8126-D09CA5730AF9}">
        <x15:connection id="TabSpecificationWork_1" autoDelete="1">
          <x15:rangePr sourceName="_xlcn.WorksheetConnection_ШаблонспецификацияworkspecN2025.xlsxTabSpecificationWork_11"/>
        </x15:connection>
      </ext>
    </extLst>
  </connection>
  <connection id="3" xr16:uid="{8AACF328-DBA8-4490-9435-12D7A95ED362}" name="WorksheetConnection_Шаблон-спецификация work spec ^N2025.xlsx!TabSpecificationWork_2" type="102" refreshedVersion="8" minRefreshableVersion="5">
    <extLst>
      <ext xmlns:x15="http://schemas.microsoft.com/office/spreadsheetml/2010/11/main" uri="{DE250136-89BD-433C-8126-D09CA5730AF9}">
        <x15:connection id="TabSpecificationWork_2">
          <x15:rangePr sourceName="_xlcn.WorksheetConnection_ШаблонспецификацияworkspecN2025.xlsxTabSpecificationWork_21"/>
        </x15:connection>
      </ext>
    </extLst>
  </connection>
  <connection id="4" xr16:uid="{600E5483-04DA-45C5-A50D-56D679FA84AC}" keepAlive="1" name="Запрос — Corporation(1)" description="Соединение с запросом &quot;Corporation&quot; в книге." type="5" refreshedVersion="0" background="1">
    <dbPr connection="Provider=Microsoft.Mashup.OleDb.1;Data Source=$Workbook$;Location=Corporation;Extended Properties=&quot;&quot;" command="SELECT * FROM [Corporation]"/>
  </connection>
  <connection id="5" xr16:uid="{4A619DB3-1083-4F2C-9832-140819114C90}" keepAlive="1" name="Запрос — Counterparty" description="Соединение с запросом &quot;Counterparty&quot; в книге." type="5" refreshedVersion="0" background="1">
    <dbPr connection="Provider=Microsoft.Mashup.OleDb.1;Data Source=$Workbook$;Location=Counterparty;Extended Properties=&quot;&quot;" command="SELECT * FROM [Counterparty]"/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23BF67F-28BF-444F-99F8-C7B3AD7834B6}" keepAlive="1" name="Запрос — ProcessingTable" description="Соединение с запросом &quot;ProcessingTable&quot; в книге." type="5" refreshedVersion="0" background="1" saveData="1">
    <dbPr connection="Provider=Microsoft.Mashup.OleDb.1;Data Source=$Workbook$;Location=ProcessingTable;Extended Properties=&quot;&quot;" command="SELECT * FROM [ProcessingTable]"/>
  </connection>
  <connection id="36" xr16:uid="{A8A1F686-081A-4454-8018-EA79119BA536}" keepAlive="1" name="Запрос — Project" description="Соединение с запросом &quot;Project&quot; в книге." type="5" refreshedVersion="8" background="1" saveData="1">
    <dbPr connection="Provider=Microsoft.Mashup.OleDb.1;Data Source=$Workbook$;Location=Project;Extended Properties=&quot;&quot;" command="SELECT * FROM [Project]"/>
  </connection>
  <connection id="37" xr16:uid="{34EDC940-1C31-4EEA-8AAE-C03C35AA29E2}" keepAlive="1" name="Запрос — sourceTable_TabCorporationList" description="Соединение с запросом &quot;sourceTable_TabCorporationList&quot; в книге." type="5" refreshedVersion="0" background="1">
    <dbPr connection="Provider=Microsoft.Mashup.OleDb.1;Data Source=$Workbook$;Location=sourceTable_TabCorporationList;Extended Properties=&quot;&quot;" command="SELECT * FROM [sourceTable_TabCorporationList]"/>
  </connection>
  <connection id="38" xr16:uid="{8B90939D-13E3-466C-B012-06D4D6E61D64}" keepAlive="1" name="Запрос — sourceTable_TabCounterpartyList" description="Соединение с запросом &quot;sourceTable_TabCounterpartyList&quot; в книге." type="5" refreshedVersion="0" background="1">
    <dbPr connection="Provider=Microsoft.Mashup.OleDb.1;Data Source=$Workbook$;Location=sourceTable_TabCounterpartyList;Extended Properties=&quot;&quot;" command="SELECT * FROM [sourceTable_TabCounterpartyList]"/>
  </connection>
  <connection id="39" xr16:uid="{9C9D0C37-4DFB-4C8C-8B2B-A86E688D3CA9}" keepAlive="1" name="Запрос — sourceTable_TabProjectList" description="Соединение с запросом &quot;sourceTable_TabProjectList&quot; в книге." type="5" refreshedVersion="0" background="1">
    <dbPr connection="Provider=Microsoft.Mashup.OleDb.1;Data Source=$Workbook$;Location=sourceTable_TabProjectList;Extended Properties=&quot;&quot;" command="SELECT * FROM [sourceTable_TabProjectList]"/>
  </connection>
  <connection id="40" xr16:uid="{BC5B7CDA-8708-4531-8C9C-C1970EE852B5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1" xr16:uid="{10D73F9E-1E59-46C3-AD94-AD71BDDE9054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42" xr16:uid="{FA83B3C6-85E9-43A8-B844-E178EAA98115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43" xr16:uid="{89FD8298-0B16-4A16-8DBD-7158CFEC59B3}" keepAlive="1" name="Запрос — sourceWorkbook_TabCorporationList" description="Соединение с запросом &quot;sourceWorkbook_TabCorporationList&quot; в книге." type="5" refreshedVersion="0" background="1">
    <dbPr connection="Provider=Microsoft.Mashup.OleDb.1;Data Source=$Workbook$;Location=sourceWorkbook_TabCorporationList;Extended Properties=&quot;&quot;" command="SELECT * FROM [sourceWorkbook_TabCorporationList]"/>
  </connection>
  <connection id="44" xr16:uid="{B9C085AB-66B6-4964-A907-048D7684635D}" keepAlive="1" name="Запрос — sourceWorkbook_TabCounterpartyList" description="Соединение с запросом &quot;sourceWorkbook_TabCounterpartyList&quot; в книге." type="5" refreshedVersion="0" background="1">
    <dbPr connection="Provider=Microsoft.Mashup.OleDb.1;Data Source=$Workbook$;Location=sourceWorkbook_TabCounterpartyList;Extended Properties=&quot;&quot;" command="SELECT * FROM [sourceWorkbook_TabCounterpartyList]"/>
  </connection>
  <connection id="45" xr16:uid="{DC5F5DFD-29E0-4AA7-B426-0C4D269E52C0}" keepAlive="1" name="Запрос — sourceWorkbook_TabProjectList" description="Соединение с запросом &quot;sourceWorkbook_TabProjectList&quot; в книге." type="5" refreshedVersion="0" background="1">
    <dbPr connection="Provider=Microsoft.Mashup.OleDb.1;Data Source=$Workbook$;Location=sourceWorkbook_TabProjectList;Extended Properties=&quot;&quot;" command="SELECT * FROM [sourceWorkbook_TabProjectList]"/>
  </connection>
  <connection id="46" xr16:uid="{897FD406-E423-46AF-A1C5-EB4EFCB546A6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47" xr16:uid="{CB2626B7-F328-42F9-86F5-66A2FFB98084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48" xr16:uid="{5615E901-E814-4CC8-B2E9-BA6C95E6980A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49" xr16:uid="{59CE3BEF-5D81-4274-B820-44C98B7F43A4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50" xr16:uid="{43537CE4-1C97-4568-9E1E-8A49854FAC2A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  <connection id="51" xr16:uid="{2720F50E-F6AD-466B-A4E5-4327A55BA699}" keepAlive="1" name="Запрос — UtilsFunctionScalar" description="Соединение с запросом &quot;UtilsFunctionScalar&quot; в книге." type="5" refreshedVersion="0" background="1">
    <dbPr connection="Provider=Microsoft.Mashup.OleDb.1;Data Source=$Workbook$;Location=UtilsFunctionScalar;Extended Properties=&quot;&quot;" command="SELECT * FROM [UtilsFunctionScalar]"/>
  </connection>
  <connection id="52" xr16:uid="{B73A073B-49A7-47BF-8243-1424C48F3227}" keepAlive="1" name="Запрос — UtilsFunctionVector" description="Соединение с запросом &quot;UtilsFunctionVector&quot; в книге." type="5" refreshedVersion="0" background="1">
    <dbPr connection="Provider=Microsoft.Mashup.OleDb.1;Data Source=$Workbook$;Location=UtilsFunctionVector;Extended Properties=&quot;&quot;" command="SELECT * FROM [UtilsFunctionVector]"/>
  </connection>
  <connection id="53" xr16:uid="{7DB205A0-E9EB-469F-B7AD-140B4F689337}" keepAlive="1" name="Запрос — VendorAndBrand" description="Соединение с запросом &quot;VendorAndBrand&quot; в книге." type="5" refreshedVersion="8" background="1" saveData="1">
    <dbPr connection="Provider=Microsoft.Mashup.OleDb.1;Data Source=$Workbook$;Location=VendorAndBrand;Extended Properties=&quot;&quot;" command="SELECT * FROM [VendorAndBran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SpecificationWork_1].[NUM PROJECT].[All]}"/>
    <s v="{[TabSpecificationWork_1].[isSHIPPED].[All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<sst xmlns="http://schemas.openxmlformats.org/spreadsheetml/2006/main" count="1148" uniqueCount="499">
  <si>
    <t>COMMENT</t>
  </si>
  <si>
    <t>IDconfig</t>
  </si>
  <si>
    <t>CONFIG_JSON</t>
  </si>
  <si>
    <t>IDnum</t>
  </si>
  <si>
    <t>№ п/п</t>
  </si>
  <si>
    <t>НАИМЕНОВАНИЕ</t>
  </si>
  <si>
    <t>ОПИСАНИЕ/ХАРАКТЕРИСТИКИ</t>
  </si>
  <si>
    <t>ЕД ИЗМ</t>
  </si>
  <si>
    <t>№ ИСХ</t>
  </si>
  <si>
    <t>ОПИСАНИЕ КОМПЛЕКТА</t>
  </si>
  <si>
    <t>ПРИЗНАК ПОСТ ОБРАБОТКИ</t>
  </si>
  <si>
    <t>БРЕНД</t>
  </si>
  <si>
    <t>ПОСТАВЩИК</t>
  </si>
  <si>
    <t>АРТИКУЛ ПОСТАВЩИК</t>
  </si>
  <si>
    <t>АРТИКУЛ МАС</t>
  </si>
  <si>
    <t>КОЛИЧЕСТВО В КОМПЛЕКТЕ</t>
  </si>
  <si>
    <t>КОМПЛЕКТОВ В ПОСТАВКЕ</t>
  </si>
  <si>
    <t>КОЛИЧЕСТВО ИТОГО</t>
  </si>
  <si>
    <t>КОЛИЧЕСТВО У ПОСТАВ-КА</t>
  </si>
  <si>
    <t>ЦЕНА ЗА ЕД. $ЗАКУП</t>
  </si>
  <si>
    <t>СЕБЕСТОИМОСТЬ $ЗАКУП</t>
  </si>
  <si>
    <t>КОЭФФИЦИЕНТ НАЦЕНКИ</t>
  </si>
  <si>
    <t>ЦЕНА ЗА ЕД. $РЕАЛИЗАЦИЯ</t>
  </si>
  <si>
    <t>СТОИМОСТЬ $РЕАЛИЗАЦИЯ</t>
  </si>
  <si>
    <t>ЦЕНА ЗА ЕД. $ИТОГ</t>
  </si>
  <si>
    <t>СТОИМОСТЬ $ИТОГ</t>
  </si>
  <si>
    <t>ИЗОБРАЖЕНИЕ ТМЦ</t>
  </si>
  <si>
    <t>BRAND</t>
  </si>
  <si>
    <t>SUPPLIER</t>
  </si>
  <si>
    <t>UNITS</t>
  </si>
  <si>
    <t>text</t>
  </si>
  <si>
    <t>int</t>
  </si>
  <si>
    <t>float</t>
  </si>
  <si>
    <t>false</t>
  </si>
  <si>
    <t>true</t>
  </si>
  <si>
    <t>СКИДКА %</t>
  </si>
  <si>
    <t>СКИДКА В РУБЛЯХ</t>
  </si>
  <si>
    <t>Порядковый номер позиции из спецификации заказчика</t>
  </si>
  <si>
    <t>Полный порядковый номер позиции, состоящий из номер комплекта и номера порядкового в комплекте</t>
  </si>
  <si>
    <t>Порядковый номер позиции в комплекте</t>
  </si>
  <si>
    <t>Уникальный порядковый номер позиции</t>
  </si>
  <si>
    <t>Технические характеристики позиции</t>
  </si>
  <si>
    <t>Наименование позиции</t>
  </si>
  <si>
    <t>Название комплекта</t>
  </si>
  <si>
    <t>Артикул поставщика</t>
  </si>
  <si>
    <t>Артикул МАС</t>
  </si>
  <si>
    <t>Количество единиц данной позиции в комплекте</t>
  </si>
  <si>
    <t>Количество комплектов в поставке</t>
  </si>
  <si>
    <t>Итоговое количество по данной позиции в поставке</t>
  </si>
  <si>
    <t>Количество в наличии у поставщика</t>
  </si>
  <si>
    <t>Коэффициент наценки</t>
  </si>
  <si>
    <t>Скидка в процентах</t>
  </si>
  <si>
    <t>Скидка в рублях</t>
  </si>
  <si>
    <t>Ссылка на изображение</t>
  </si>
  <si>
    <t>[1, 1000000]</t>
  </si>
  <si>
    <t>IDsource</t>
  </si>
  <si>
    <t>[7, 1000]</t>
  </si>
  <si>
    <t>[7, 3000]</t>
  </si>
  <si>
    <t>СПЕЦИФИЧЕСКИЙ РАСЧЕТ СТОИМОСТИ</t>
  </si>
  <si>
    <t>[0, 300]</t>
  </si>
  <si>
    <t>[0, 2]</t>
  </si>
  <si>
    <t>[1, 50]</t>
  </si>
  <si>
    <t>[3, 5]</t>
  </si>
  <si>
    <t>[1, 100]</t>
  </si>
  <si>
    <t>[3, 300]</t>
  </si>
  <si>
    <t>[10, 1000]</t>
  </si>
  <si>
    <t>[4, 5]</t>
  </si>
  <si>
    <t>[3, 50]</t>
  </si>
  <si>
    <t>[3, 15]</t>
  </si>
  <si>
    <t>[0, 999]</t>
  </si>
  <si>
    <t>[1, 5000000]</t>
  </si>
  <si>
    <t>[1, 10]</t>
  </si>
  <si>
    <t>[0, 70]</t>
  </si>
  <si>
    <t>[1, 10000000]</t>
  </si>
  <si>
    <t>[1, 300]</t>
  </si>
  <si>
    <t>COMPANY_LABEL</t>
  </si>
  <si>
    <t>Амперка</t>
  </si>
  <si>
    <t>Знаток</t>
  </si>
  <si>
    <t>РоботБаза</t>
  </si>
  <si>
    <t>ОЗОН</t>
  </si>
  <si>
    <t>Iarduino</t>
  </si>
  <si>
    <t>LiitoKala</t>
  </si>
  <si>
    <t>Амперкот</t>
  </si>
  <si>
    <t>Supereyes</t>
  </si>
  <si>
    <t>Platan</t>
  </si>
  <si>
    <t>Robotclass</t>
  </si>
  <si>
    <t>Вольтмастер</t>
  </si>
  <si>
    <t>Fixfly</t>
  </si>
  <si>
    <t>ХоббиРу</t>
  </si>
  <si>
    <t>МИНИБОТ</t>
  </si>
  <si>
    <t>Паркфлаер</t>
  </si>
  <si>
    <t>RC-TODAY.RU</t>
  </si>
  <si>
    <t>PLUS3</t>
  </si>
  <si>
    <t>IP-mania</t>
  </si>
  <si>
    <t>X-models</t>
  </si>
  <si>
    <t>RcDrive</t>
  </si>
  <si>
    <t>RC-GO.RU</t>
  </si>
  <si>
    <t>Air-hobby.ru</t>
  </si>
  <si>
    <t>RCcopter.ru</t>
  </si>
  <si>
    <t>MyDrone</t>
  </si>
  <si>
    <t>CompactTool</t>
  </si>
  <si>
    <t>RoboShop</t>
  </si>
  <si>
    <t>Duino</t>
  </si>
  <si>
    <t>Умные модули</t>
  </si>
  <si>
    <t>Город карт</t>
  </si>
  <si>
    <t>Robot-kit</t>
  </si>
  <si>
    <t>18650pro.ru</t>
  </si>
  <si>
    <t>OCS</t>
  </si>
  <si>
    <t>ДНС</t>
  </si>
  <si>
    <t>Ситилинк</t>
  </si>
  <si>
    <t>noname</t>
  </si>
  <si>
    <t>OnPad</t>
  </si>
  <si>
    <t>МАС</t>
  </si>
  <si>
    <t>Альбитех</t>
  </si>
  <si>
    <t>Чип и Дип</t>
  </si>
  <si>
    <t>Parts Direct</t>
  </si>
  <si>
    <t>НАГ</t>
  </si>
  <si>
    <t>Киберкуб</t>
  </si>
  <si>
    <t>ОнЛайн Трейд</t>
  </si>
  <si>
    <t>ЛУИС+ Самара</t>
  </si>
  <si>
    <t>ДССЛ</t>
  </si>
  <si>
    <t>шт</t>
  </si>
  <si>
    <t>кп</t>
  </si>
  <si>
    <t>IDvendor</t>
  </si>
  <si>
    <t>Pitsco</t>
  </si>
  <si>
    <t>Arduino</t>
  </si>
  <si>
    <t>Feetech</t>
  </si>
  <si>
    <t>61mcu</t>
  </si>
  <si>
    <t>DFRobot</t>
  </si>
  <si>
    <t>Yahboom</t>
  </si>
  <si>
    <t>Hipe</t>
  </si>
  <si>
    <t>Sharp</t>
  </si>
  <si>
    <t>МАСОР</t>
  </si>
  <si>
    <t>МЭЛТ</t>
  </si>
  <si>
    <t>Kingbright</t>
  </si>
  <si>
    <t xml:space="preserve">Texas Instruments </t>
  </si>
  <si>
    <t>Philips</t>
  </si>
  <si>
    <t>Epcos</t>
  </si>
  <si>
    <t>WeMos</t>
  </si>
  <si>
    <t>LG</t>
  </si>
  <si>
    <t>FlySky</t>
  </si>
  <si>
    <t>Nanopix</t>
  </si>
  <si>
    <t xml:space="preserve">Racerstar </t>
  </si>
  <si>
    <t>DJI</t>
  </si>
  <si>
    <t>AKK Technology</t>
  </si>
  <si>
    <t>Eachine</t>
  </si>
  <si>
    <t>Happymodel</t>
  </si>
  <si>
    <t>BETAFPV</t>
  </si>
  <si>
    <t>HQProp</t>
  </si>
  <si>
    <t>Gaoneng</t>
  </si>
  <si>
    <t>Dinogy</t>
  </si>
  <si>
    <t>Bringsmart</t>
  </si>
  <si>
    <t>SkyRC</t>
  </si>
  <si>
    <t>Hyperline</t>
  </si>
  <si>
    <t xml:space="preserve">Waveshare </t>
  </si>
  <si>
    <t>Raspberry PI</t>
  </si>
  <si>
    <t>ClimateGuard</t>
  </si>
  <si>
    <t>Sciosense</t>
  </si>
  <si>
    <t>Samsung</t>
  </si>
  <si>
    <t>Элком+</t>
  </si>
  <si>
    <t>NSGate</t>
  </si>
  <si>
    <t>ORIGO</t>
  </si>
  <si>
    <t>Kingston</t>
  </si>
  <si>
    <t>SanDisk</t>
  </si>
  <si>
    <t>DIATONE INNOVATIONS</t>
  </si>
  <si>
    <t>BrotherHobby</t>
  </si>
  <si>
    <t>HAKRC</t>
  </si>
  <si>
    <t>DM-RC</t>
  </si>
  <si>
    <t>Readytosky</t>
  </si>
  <si>
    <t>AirParts</t>
  </si>
  <si>
    <t>RadioMaster</t>
  </si>
  <si>
    <t xml:space="preserve">	Rush</t>
  </si>
  <si>
    <t>TBS</t>
  </si>
  <si>
    <t>Radiomaster</t>
  </si>
  <si>
    <t>Foxeer</t>
  </si>
  <si>
    <t>GepRC</t>
  </si>
  <si>
    <t>SpeedyBee</t>
  </si>
  <si>
    <t>Caddx</t>
  </si>
  <si>
    <t>Flywoo</t>
  </si>
  <si>
    <t>Gemfan</t>
  </si>
  <si>
    <t>Xiaomi</t>
  </si>
  <si>
    <t>Горизонт</t>
  </si>
  <si>
    <t>ISA</t>
  </si>
  <si>
    <t>STMicroelectronics</t>
  </si>
  <si>
    <t>Hiper</t>
  </si>
  <si>
    <t xml:space="preserve">Orange </t>
  </si>
  <si>
    <t>Hoco</t>
  </si>
  <si>
    <t>ОКЛИК</t>
  </si>
  <si>
    <t>Baseus</t>
  </si>
  <si>
    <t>Huawei</t>
  </si>
  <si>
    <t>LR-Link</t>
  </si>
  <si>
    <t>SNR</t>
  </si>
  <si>
    <t>Gigabyte</t>
  </si>
  <si>
    <t>MikroTik</t>
  </si>
  <si>
    <t>Яндекс</t>
  </si>
  <si>
    <t>Sonoff</t>
  </si>
  <si>
    <t>D-Link</t>
  </si>
  <si>
    <t>Aqara</t>
  </si>
  <si>
    <t>Spruthub</t>
  </si>
  <si>
    <t>Tfortis</t>
  </si>
  <si>
    <t>Cabeus</t>
  </si>
  <si>
    <t>Lanmaster</t>
  </si>
  <si>
    <t>NIKOMAX</t>
  </si>
  <si>
    <t>[0, 3000]</t>
  </si>
  <si>
    <t>IDsupplier</t>
  </si>
  <si>
    <t>TableVendorAndBrand</t>
  </si>
  <si>
    <t>TabSupplier</t>
  </si>
  <si>
    <t>none</t>
  </si>
  <si>
    <t>TabUnits</t>
  </si>
  <si>
    <t>COST $TOTAL</t>
  </si>
  <si>
    <t>№ ПРОЕКТА</t>
  </si>
  <si>
    <t>[13, 25]</t>
  </si>
  <si>
    <t>[1, 540]</t>
  </si>
  <si>
    <t>Длительность в календарных днях реализации товара или услуги</t>
  </si>
  <si>
    <t>Полный номер проекта из таблицы реестр проектов</t>
  </si>
  <si>
    <t>TabProjectList</t>
  </si>
  <si>
    <t>TabSpecificationWork_1</t>
  </si>
  <si>
    <t>TabSpecificationWork_2</t>
  </si>
  <si>
    <t>ПРИМЕЧАНИЕ РАБОЧЕЕ</t>
  </si>
  <si>
    <t>НОМЕР ЗАКАЗА ПРОЕКТА</t>
  </si>
  <si>
    <t>ВЕРСИЯ КОЛЛЕКЦИИ</t>
  </si>
  <si>
    <t>ДЛИТЕЛЬНОСТЬ РЕАЛИЗАЦИИ $ИТОГ</t>
  </si>
  <si>
    <t>ПРИМЕЧАНИЕ ЗАКАЗЧИК</t>
  </si>
  <si>
    <t>IDset</t>
  </si>
  <si>
    <t>ИДЕНТИФИКАТОР КОМПЛЕКТА</t>
  </si>
  <si>
    <t>Свободный (число или текст - латиницей) идентификатор комплекта</t>
  </si>
  <si>
    <t>[6, 10]</t>
  </si>
  <si>
    <t>Уникальное хэш значение, характеризуемое текущую коллекцию</t>
  </si>
  <si>
    <t>ХЭШ КОЛЛЕКЦИИ</t>
  </si>
  <si>
    <t>[5, 300]</t>
  </si>
  <si>
    <r>
      <t xml:space="preserve">Версия коллекции - число. Под </t>
    </r>
    <r>
      <rPr>
        <b/>
        <sz val="11"/>
        <color theme="1"/>
        <rFont val="Calibri"/>
        <family val="2"/>
        <charset val="204"/>
        <scheme val="minor"/>
      </rPr>
      <t>КОЛЛЕКЦИЕЙ</t>
    </r>
    <r>
      <rPr>
        <sz val="11"/>
        <color theme="1"/>
        <rFont val="Calibri"/>
        <family val="2"/>
        <charset val="204"/>
        <scheme val="minor"/>
      </rPr>
      <t xml:space="preserve"> понимается объект данных который описывает стока, она же одна запись датасета</t>
    </r>
  </si>
  <si>
    <t>COMMENT WORK</t>
  </si>
  <si>
    <t>NUM PROJECT</t>
  </si>
  <si>
    <t>VER COLLECTION</t>
  </si>
  <si>
    <t>NUM SEQUENCE SET</t>
  </si>
  <si>
    <t>NUM FULL SET</t>
  </si>
  <si>
    <t>DESCRIPTION SET</t>
  </si>
  <si>
    <t>HASH COLLECTION</t>
  </si>
  <si>
    <t>NAME PRODUCT</t>
  </si>
  <si>
    <t>DESCRIPTION PRODUCT</t>
  </si>
  <si>
    <t>ARTICLE SUPPLIER</t>
  </si>
  <si>
    <t>ARTICLE INTERNAL</t>
  </si>
  <si>
    <t>QUANTITY SET</t>
  </si>
  <si>
    <t>QUANTITY SHIPPED SET</t>
  </si>
  <si>
    <t>QUANTITY TOTAL</t>
  </si>
  <si>
    <t>QUANTITY SUPPLIER</t>
  </si>
  <si>
    <t>PRICE UNIT $PURCHASE</t>
  </si>
  <si>
    <t>COST PRICE $PURCHASE</t>
  </si>
  <si>
    <t>URL PRODUCT</t>
  </si>
  <si>
    <t>IMAGE PRODUCT</t>
  </si>
  <si>
    <t>TYPE DATASET</t>
  </si>
  <si>
    <t>TABLE NAME</t>
  </si>
  <si>
    <t>NUM COLUMN</t>
  </si>
  <si>
    <t>СOLUMNS NAME</t>
  </si>
  <si>
    <t>COLUMN NAME RUS</t>
  </si>
  <si>
    <t>RANGE VALUES</t>
  </si>
  <si>
    <t>UNIQUE FLAG</t>
  </si>
  <si>
    <t>NULL VALUE</t>
  </si>
  <si>
    <t>MODIFY FLAG</t>
  </si>
  <si>
    <t>HANDBOOK SOURCE</t>
  </si>
  <si>
    <t>COEFFICIENT MARKUP</t>
  </si>
  <si>
    <t>PRICE UNIT $SALE</t>
  </si>
  <si>
    <t>COST DEAL $SALE</t>
  </si>
  <si>
    <t>DISCOUNT PERCENT</t>
  </si>
  <si>
    <t>DISCOUNT MONEY</t>
  </si>
  <si>
    <t>FORMULA SPECIFIC COST</t>
  </si>
  <si>
    <t>PRICE UNIT $TOTAL</t>
  </si>
  <si>
    <t>DURATION SALE $TOTAL</t>
  </si>
  <si>
    <t>COMMENT CUSTOMER</t>
  </si>
  <si>
    <t>EXCEL TYPE</t>
  </si>
  <si>
    <t>DROPDOWN LIST</t>
  </si>
  <si>
    <t>VERTICAL ALIGNMENT</t>
  </si>
  <si>
    <t>HORIZONTAL ALIGNMENT</t>
  </si>
  <si>
    <t>TRANSFER TEXT</t>
  </si>
  <si>
    <t>Числовой</t>
  </si>
  <si>
    <t>Текстовый</t>
  </si>
  <si>
    <t>Общий</t>
  </si>
  <si>
    <t>center</t>
  </si>
  <si>
    <t>up</t>
  </si>
  <si>
    <t>left</t>
  </si>
  <si>
    <t>чел/час</t>
  </si>
  <si>
    <t>этап</t>
  </si>
  <si>
    <t>ССЫЛКА НА ПРОДУКТ</t>
  </si>
  <si>
    <t>TCP SOURCE</t>
  </si>
  <si>
    <t>ТКП ПОСТАВЩИКА</t>
  </si>
  <si>
    <t>Название бренда производителя из справочника</t>
  </si>
  <si>
    <t>Название поставщика из справочника</t>
  </si>
  <si>
    <t>Единицы измерения из справочника</t>
  </si>
  <si>
    <t>Цена за единицу - закупка</t>
  </si>
  <si>
    <t>Стоимость - закупка</t>
  </si>
  <si>
    <t>TabTCPSupplier</t>
  </si>
  <si>
    <t>Идентификатор спецификации поставщика/дистрибьютера, на основе которой сформирована цена позиции. Из справочника ТКП поставщиков</t>
  </si>
  <si>
    <t>Комментарии внутренний - ТОЛЬКО ДЛЯ ВНУТРЕННЕГО СЛУЖЕБНОГО ПОЛЬЗОВАНИЯ. Полезная, дополнительная информация по позиции в свободной форме</t>
  </si>
  <si>
    <t>Прямая ссылка на позицию на сайте производителя/поставщика</t>
  </si>
  <si>
    <t>Цена за единицу - реализация</t>
  </si>
  <si>
    <t>Стоимость - реализация</t>
  </si>
  <si>
    <t>Колонка зарезервирована для будущих изменений в методиках рассчета цены/стоимости</t>
  </si>
  <si>
    <t>Итоговая цена по позиции - реализация</t>
  </si>
  <si>
    <t>Итоговая стоимость по позиции - реализация</t>
  </si>
  <si>
    <t>Комментарии, открытый - для заказчика, полезная информация по позиции в свободной форме</t>
  </si>
  <si>
    <t>down</t>
  </si>
  <si>
    <t>right</t>
  </si>
  <si>
    <t>ДВССЫЛ("TabHandbookUnit[UNITS]")</t>
  </si>
  <si>
    <t>IDprojectfull</t>
  </si>
  <si>
    <t>1/2022-N1-МАС</t>
  </si>
  <si>
    <t>2/2022-N1-МАС</t>
  </si>
  <si>
    <t>3/2022-N1-МАС</t>
  </si>
  <si>
    <t>4/2022-N1-МАС</t>
  </si>
  <si>
    <t>5/2022-N1-МАС</t>
  </si>
  <si>
    <t>6/2022-N1-МАС</t>
  </si>
  <si>
    <t>7/2022-N1-МАС</t>
  </si>
  <si>
    <t>8/2022-N1-МАС</t>
  </si>
  <si>
    <t>9/2022-N1-МАС</t>
  </si>
  <si>
    <t>10/2022-N1-МАС</t>
  </si>
  <si>
    <t>11/2022-N1-МАС</t>
  </si>
  <si>
    <t>12/2022-N1-МАС</t>
  </si>
  <si>
    <t>13/2022-N1-МАС</t>
  </si>
  <si>
    <t>14/2022-N1-МАС</t>
  </si>
  <si>
    <t>15/2022-N1-МАС</t>
  </si>
  <si>
    <t>16/2022-N1-МАС</t>
  </si>
  <si>
    <t>17/2022-N1-МАС</t>
  </si>
  <si>
    <t>18/2022-N1-МАС</t>
  </si>
  <si>
    <t>19/2022-N1-МАС</t>
  </si>
  <si>
    <t>20/2022-N1-МАС</t>
  </si>
  <si>
    <t>21/2022-N1-МАС</t>
  </si>
  <si>
    <t>11/2023-N0-МАС</t>
  </si>
  <si>
    <t>29/2024-N0-МАС</t>
  </si>
  <si>
    <t>1/2024-N0-ГОРИЗОНТ</t>
  </si>
  <si>
    <t>2/2024-N0-ГОРИЗОНТ</t>
  </si>
  <si>
    <t>2/2024-N0-МАС</t>
  </si>
  <si>
    <t>1/2023-N1-МАС</t>
  </si>
  <si>
    <t>2/2023-N1-МАС</t>
  </si>
  <si>
    <t>3/2023-N1-МАС</t>
  </si>
  <si>
    <t>4/2023-N1-МАС</t>
  </si>
  <si>
    <t>5/2023-N1-МАС</t>
  </si>
  <si>
    <t>6/2023-N1-МАС</t>
  </si>
  <si>
    <t>7/2023-N1-МАС</t>
  </si>
  <si>
    <t>10/2023-N1-МАС</t>
  </si>
  <si>
    <t>12/2023-N1-МАС</t>
  </si>
  <si>
    <t>12/2023-N1-ГОРИЗОНТ</t>
  </si>
  <si>
    <t>13/2023-N1-МАС</t>
  </si>
  <si>
    <t>14/2023-N1-МАС</t>
  </si>
  <si>
    <t>15/2023-N1-МАС</t>
  </si>
  <si>
    <t>16/2023-N1-МАС</t>
  </si>
  <si>
    <t>5/2024-N2-МАС</t>
  </si>
  <si>
    <t>1/2024-N1-ГОРИЗОНТ</t>
  </si>
  <si>
    <t>2/2024-N1-МАС</t>
  </si>
  <si>
    <t>3/2024-N1-МАС</t>
  </si>
  <si>
    <t>4/2024-N1-МАС</t>
  </si>
  <si>
    <t>5/2024-N1-МАС</t>
  </si>
  <si>
    <t>6/2024-N1-МАС</t>
  </si>
  <si>
    <t>7/2024-N1-МАС</t>
  </si>
  <si>
    <t>8/2024-N1-МАС</t>
  </si>
  <si>
    <t>9/2024-N1-МАС</t>
  </si>
  <si>
    <t>10/2024-N1-МАС</t>
  </si>
  <si>
    <t>12/2024-N1-МАС</t>
  </si>
  <si>
    <t>13/2024-N1-МАС</t>
  </si>
  <si>
    <t>14/2024-N1-МАС</t>
  </si>
  <si>
    <t>15/2024-N1-МАС</t>
  </si>
  <si>
    <t>16/2024-N1-МАС</t>
  </si>
  <si>
    <t>17/2024-N1-МАС</t>
  </si>
  <si>
    <t>18/2024-N1-МАС</t>
  </si>
  <si>
    <t>19/2024-N1-МАС</t>
  </si>
  <si>
    <t>20/2024-N1-МАС</t>
  </si>
  <si>
    <t>21/2024-N1-МАС</t>
  </si>
  <si>
    <t>22/2024-N1-МАС</t>
  </si>
  <si>
    <t>23/2024-N1-МАС</t>
  </si>
  <si>
    <t>24/2024-N1-МАС</t>
  </si>
  <si>
    <t>25/2024-N1-МАС</t>
  </si>
  <si>
    <t>1/2025-N1-МАС</t>
  </si>
  <si>
    <t>26/2024-N1-МАС</t>
  </si>
  <si>
    <t>27/2024-N1-ГОРИЗОНТ</t>
  </si>
  <si>
    <t>3/2025-N1-ГОРИЗОНТ</t>
  </si>
  <si>
    <t>28/2024-N1-МАС</t>
  </si>
  <si>
    <t>1/2024-N2-ГОРИЗОНТ</t>
  </si>
  <si>
    <t>17/2023-N1-МАС</t>
  </si>
  <si>
    <t>3/2024-N1-ГОРИЗОНТ</t>
  </si>
  <si>
    <t>4/2025-N0-ГОРИЗОНТ</t>
  </si>
  <si>
    <t>5/2025-N1-ГОРИЗОНТ</t>
  </si>
  <si>
    <t>6/2025-N1-МАС</t>
  </si>
  <si>
    <t>7/2025-N1-МАС</t>
  </si>
  <si>
    <t>8/2025-N0-МАС</t>
  </si>
  <si>
    <t>10/2025-N1-ГОРИЗОНТ</t>
  </si>
  <si>
    <t>11/2025-N0-ГОРИЗОНТ</t>
  </si>
  <si>
    <t>12/2025-N0-МАС</t>
  </si>
  <si>
    <t>13/2025-N1-МАС</t>
  </si>
  <si>
    <t>14/2025-N1-ГОРИЗОНТ</t>
  </si>
  <si>
    <t>5/2025-N0-ГОРИЗОНТ</t>
  </si>
  <si>
    <t>4/2025-N1-ГОРИЗОНТ</t>
  </si>
  <si>
    <t>11/2025-N1-ГОРИЗОНТ</t>
  </si>
  <si>
    <t>12/2025-N1-МАС</t>
  </si>
  <si>
    <t>29/2024-N1-МАС</t>
  </si>
  <si>
    <t>15/2025-N0-КУКУШКИН ИВАН НИКОЛАЕВИЧ</t>
  </si>
  <si>
    <t>NUM ORDER</t>
  </si>
  <si>
    <t>isSUPPLIED</t>
  </si>
  <si>
    <t>ПРИЗНАК ПОСТАВКИ ПОЗИЦИИ</t>
  </si>
  <si>
    <t>1/2024-N3-ГОРИЗОНТ</t>
  </si>
  <si>
    <t>8/2023-N1-ГОРИЗОНТ</t>
  </si>
  <si>
    <t>9/2023-N1-ГОРИЗОНТ</t>
  </si>
  <si>
    <t>1/2025-N1-ГОРИЗОНТ</t>
  </si>
  <si>
    <t>2/2025-N1-ГОРИЗОНТ</t>
  </si>
  <si>
    <t>3/2024-N0-ГОРИЗОНТ</t>
  </si>
  <si>
    <t>5/2024-N3-МАС</t>
  </si>
  <si>
    <t>10/2024-N0-КУКУШКИН ИВАН НИКОЛАЕВИЧ</t>
  </si>
  <si>
    <t>10/2024-N1-КУКУШКИН ИВАН НИКОЛАЕВИЧ</t>
  </si>
  <si>
    <t>10/2024-N2-КУКУШКИН ИВАН НИКОЛАЕВИЧ</t>
  </si>
  <si>
    <t>10/2024-N3-КУКУШКИН ИВАН НИКОЛАЕВИЧ</t>
  </si>
  <si>
    <t>10/2024-N4-КУКУШКИН ИВАН НИКОЛАЕВИЧ</t>
  </si>
  <si>
    <t>10/2024-N5-КУКУШКИН ИВАН НИКОЛАЕВИЧ</t>
  </si>
  <si>
    <t>10/2024-N6-КУКУШКИН ИВАН НИКОЛАЕВИЧ</t>
  </si>
  <si>
    <t>NVIDIA</t>
  </si>
  <si>
    <t>isAUTOMATIC</t>
  </si>
  <si>
    <t>ПОРЯДКОВЫЙ НОМЕР В КОМПЛЕКТЕ</t>
  </si>
  <si>
    <t>ПОЛНЫЙ ИДЕНТИФИКАТОР КОЛЛЕКЦИИ</t>
  </si>
  <si>
    <t>Общий итог</t>
  </si>
  <si>
    <t>1/2024-N4-ГОРИЗОНТ</t>
  </si>
  <si>
    <t>All</t>
  </si>
  <si>
    <t>Номер заказа в рамках проекта. Автоматически вычисляется средствами Excel при выбранном номере проектав столбце 'NUM PROJECT'</t>
  </si>
  <si>
    <t>2/2025-N1-КУКУШКИН ИВАН НИКОЛАЕВИЧ</t>
  </si>
  <si>
    <t>9/2025-N0-КУКУШКИН ИВАН НИКОЛАЕВИЧ</t>
  </si>
  <si>
    <t>9/2025-N1-КУКУШКИН ИВАН НИКОЛАЕВИЧ</t>
  </si>
  <si>
    <t>11/2024-N1-МАС</t>
  </si>
  <si>
    <t>16/2025-N1-МАС</t>
  </si>
  <si>
    <t>17/2025-N1-ГОРИЗОНТ</t>
  </si>
  <si>
    <t>18/2025-N0-МАС</t>
  </si>
  <si>
    <t>19/2025-N0-ГОРИЗОНТ</t>
  </si>
  <si>
    <t>20/2025-N0-КУКУШКИН ИВАН НИКОЛАЕВИЧ</t>
  </si>
  <si>
    <t>21/2025-N0-МАС</t>
  </si>
  <si>
    <t>21/2025-N1-МАС</t>
  </si>
  <si>
    <t>22/2025-N0-МАС</t>
  </si>
  <si>
    <t>22/2025-N1-МАС</t>
  </si>
  <si>
    <t xml:space="preserve">Комплект активного сетевого оборудования </t>
  </si>
  <si>
    <t>OS3228</t>
  </si>
  <si>
    <t>Управляемый L3 коммутатор
Количество гигабитных портов RJ-45: 24
Количество портов 10G SFP+: 4
Динамическая маршрутизация RIP, OSPF, BGP
Статическая маршрутизация
802.1Q VLAN, Selective Q-in-Q, Multicast VLAN
Аутентификация 802.1X, ACL, Port Security
Широкий набор функций QoS для приоритизации трафика
IGMP/MLD Snooping для работы с multicast-трафиком
ERPS, STP/RSTP/MSTP, LoopBack Detection для отказоустойчивости
Администрирование через Web-интерфейс, Telnet, SSH, Console, SNMP
Питание
Напряжение питания: 100-240 VAC
Мощность блоков питания: 23,2 Вт
Количество блоков питания: 1 шт
Размеры (Д x Ш x В): 441 x 207 x 44 мм
Вес: 2,74 кг</t>
  </si>
  <si>
    <t>DEM-432XT</t>
  </si>
  <si>
    <t>Десятигигабитный оптический SFP+ трансивер
Интерфейсы: 1 порт 10GBase-LR
Форм-фактор: SFP+
Разъем: дуплексный LC
Режим работы: однонаправленный
Тип кабеля: одномодовый
Стандарт: IEEE 802.3ae 10GBase-LR
Расстояние передачи данных: 10 км
Скорость передачи данных: 10 Гбит/с
Выходная оптическая мощность (Tx):макс 0.5 дБм, мин -8  дБм
Входная оптическая мощность (Rx): макс -1  дБм, мин -14.4 дБм
Чувствительность: -14.4 дБм
Температура рабочая:  0 - 70 °C</t>
  </si>
  <si>
    <t>Модуль SFP с интерфейсом RJ45, до 100м</t>
  </si>
  <si>
    <t>Модуль SFP с интерфейсом RJ45, до 100м
Тип модуля: 1000 Base-T
Скорость модуля: 1Gbps
Форм-фактор модуля: модули SFP
Тип коннектора модуля: RJ45
Диапазон рабочих температур, °C: от -5 до 70
Максимальное расстояние, км: 0,1</t>
  </si>
  <si>
    <t>Патч-корд оптический LC-LC-SM duplex</t>
  </si>
  <si>
    <t>Патч-корд оптический LC-LC-SM duplex
Тип коннектора 1: LC
Тип коннектора 2: LC
Кабель: одномодовый
Длина: 3 метра</t>
  </si>
  <si>
    <t>Патч-корд RG45 cat 6, 3 м красный</t>
  </si>
  <si>
    <t>Патч-корд RG45 cat 6 
Длина: 3 м 
Цвет: красный</t>
  </si>
  <si>
    <t>Патч-корд RG45 cat 6, 3 м желтый</t>
  </si>
  <si>
    <t>Патч-корд RG45 cat 6 
Длина: 3 м 
Цвет: желтый</t>
  </si>
  <si>
    <t>Патч-корд RG45 cat 6, 3 м синий</t>
  </si>
  <si>
    <t>Патч-корд RG45 cat 6 
Длина: 3 м 
Цвет: синий</t>
  </si>
  <si>
    <t xml:space="preserve">Оптический кросс 19" 1U 16 портов  </t>
  </si>
  <si>
    <t xml:space="preserve">Оптический кросс 19" 1U 16 портов
Тип портов: FC
</t>
  </si>
  <si>
    <t>Шкаф с оптическим кроссом и встроенным коммутатором уличный, неуправляемый, 2 SFP-слота, РоЕ+</t>
  </si>
  <si>
    <t>Шкаф с оптическим кроссом и встроенным коммутатором уличный, неуправляемый, 2 SFP-слота, РоЕ+
Два SFP-слота / Встроенный оптический кросс РоЕ+  802.3at (60W) на всех портах
Диапазон рабочих температур: -60 °С ... 50 °С
Класс защиты IP: IP66
Материал корпуса: пластик
Масса: 3.6 кг
Исполнение: неуправляемый
Порты PoE: количество портов 4 шт, до 60 Вт на порт
Порты SFP: количество портов 2 шт, стандарт SFP
Габаритные размеры: ДxШxВ 360 мм x 240 мм x 120 мм
Питание: AC, 230 В, 200 Вт
Пропускная способность: 4.8 Гбит/с</t>
  </si>
  <si>
    <t>Комплект программного обеспечения и лицензий</t>
  </si>
  <si>
    <t>Лицензии поддержки службы DPDK NVIDIA</t>
  </si>
  <si>
    <t>Лицензии для сетевых карт NVIDIA</t>
  </si>
  <si>
    <t>Патч-корд оптический FC-LC-SM duplex</t>
  </si>
  <si>
    <t>Патч-корд оптический FC-LC-SM duplex
Тип коннектора 1: FC
Тип коннектора 2: LC
Кабель: одномодовый
Длина: 3 метра</t>
  </si>
  <si>
    <t>1000714105</t>
  </si>
  <si>
    <t>https://origo-networks.ru/products/1/16.html</t>
  </si>
  <si>
    <t>32109</t>
  </si>
  <si>
    <t>https://www.dssl.ru/products/432xt-b1a-sfp-modul/</t>
  </si>
  <si>
    <t>SNR-SFP-T</t>
  </si>
  <si>
    <t>Модуль SFP с скоростью передачи 1Gb, тип интерфейса RG45. Предназначен для подключения вспомагательного оборудования такого как ИБП, операторские рабочие места и оборудования от заказчика.
Код товара: 02132
Позиция получена, закупка не требуется !!!</t>
  </si>
  <si>
    <t>https://shop.nag.ru/catalog/01889.sfp-gbic-xfp-sfp-x2-xenpak-qsfp-cfp-moduli/02086.moduli-sfp/02132.snr-sfp-t</t>
  </si>
  <si>
    <t>3614958</t>
  </si>
  <si>
    <t>Патч корд предназначен для соединений ядрового коммутатора с патч панелью стойки с ПТК. Также предназначен для проведения тестовых нагузочных испытаний подключение полевых коммутаторов</t>
  </si>
  <si>
    <t>https://www.onlinetrade.ru/catalogue/vo_patch_kordy_odnomodovye-c6870/cabeus/opticheskiy_shnur_cabeus_fop_d_9_lc_lc_3m_duplex_lc_lc_9_125_sm_3m_lszh_fop_d_9_lc_lc_3m-3614958.html</t>
  </si>
  <si>
    <t>2329851</t>
  </si>
  <si>
    <t>Патч корд предназначен для межблочной коммутации в стойке ПТК</t>
  </si>
  <si>
    <t>https://www.onlinetrade.ru/catalogue/patch_kordy-c713/lanmaster/patch_kord_lanmaster_lszh_ftp_kat.6_3.0_m_krasnyy_lan_pc45_s6_3.0_rd-2329851.html</t>
  </si>
  <si>
    <t>2329849</t>
  </si>
  <si>
    <t>https://www.onlinetrade.ru/catalogue/patch_kordy-c713/lanmaster/patch_kord_lanmaster_lszh_ftp_kat.6_3.0_m_zheltyy_lan_pc45_s6_3.0_yl-2329849.html</t>
  </si>
  <si>
    <t>2329960</t>
  </si>
  <si>
    <t>https://www.onlinetrade.ru/catalogue/patch_kordy-c713/lanmaster/patch_kord_lanmaster_lszh_utp_kat.6_3.0_m_siniy_lan_pc45_u6_3.0_bl-2329960.html</t>
  </si>
  <si>
    <t>SNR-ODF-24R-16FC-P-BK</t>
  </si>
  <si>
    <t>Установка в серверную стойку с ПТК</t>
  </si>
  <si>
    <t>https://shop.nag.ru/catalog/07144.kross-opticheskij-stoechnyj-19/89815.kross-opticheskij-stoechnyj-19-1u/59710.snr-odf-24r-16fc-p-bk</t>
  </si>
  <si>
    <t>TFortis</t>
  </si>
  <si>
    <t>479915</t>
  </si>
  <si>
    <t>Шкаф с оптической патч панелью и коммутатором размещается на установке для развязки и подключения бронированных кабелей от полевых коммутаторов и кабелей до серверной стойки с ПТК
Получен счет Луис+</t>
  </si>
  <si>
    <t>https://luis.ru/p/479915</t>
  </si>
  <si>
    <t>0</t>
  </si>
  <si>
    <t xml:space="preserve">Лицензии для компенсации затрат по стендированию </t>
  </si>
  <si>
    <t>https://www.lr-link.com/products/lres3026pf-ocp.html</t>
  </si>
  <si>
    <t xml:space="preserve">Патч корд предназначен для соединений ядрового коммутатора с оптическим кроссом стойки с ПТК. </t>
  </si>
  <si>
    <t>https://www.onlinetrade.ru/catalogue/vo_patch_kordy_odnomodovye-c6870/toplan/patch_kord_opticheskiy_toplan_dupleksnyy_fc_upc_lc_upc_sm_3.0_m_lszh_dpc_top_652_fc_u_lc_u_3.0-1821981.html</t>
  </si>
  <si>
    <t>Коммутатор полевого уровня/ 
Дополнительная закупка - резервного оборудования по итогам совещания с Заказчиком</t>
  </si>
  <si>
    <t>Модули предназначены для обеспечения стендового оборудования (в виде 2-х коммутаторов ORIGO)</t>
  </si>
  <si>
    <t>Комплект активного сетевого оборудования</t>
  </si>
  <si>
    <t>Оптический кросс 19" 1U 16 портов</t>
  </si>
  <si>
    <t>Комплект пассивного сетевого оборудования</t>
  </si>
  <si>
    <t>Комплект активного сетевого оборудования с монтажным комплектом</t>
  </si>
  <si>
    <t>Комплект модулей для активного сетевого оборудования</t>
  </si>
  <si>
    <t>НАИМЕНОВАНИЕ ПОЗИЦИИ</t>
  </si>
  <si>
    <t xml:space="preserve">Комплект пассивного сетевого оборудования </t>
  </si>
  <si>
    <t>ПРИЗНАК ПОЗИЦИИ В ПОСТАВКЕ</t>
  </si>
  <si>
    <t>Признак закупки позиции в данном заказе</t>
  </si>
  <si>
    <t xml:space="preserve">Признак  пост-модификации коммерческих данных данной коллекции </t>
  </si>
  <si>
    <t>isSHIPPED</t>
  </si>
  <si>
    <t>isPROCESSING</t>
  </si>
  <si>
    <t>Признак поставки позиции в данном заказе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</si>
</sst>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1" tint="0.24994659260841701"/>
        <bgColor theme="8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49" fontId="0" fillId="0" borderId="10" xfId="0" applyNumberFormat="1" applyBorder="1" applyAlignment="1">
      <alignment horizontal="left" vertical="top" wrapText="1"/>
    </xf>
    <xf numFmtId="49" fontId="0" fillId="0" borderId="10" xfId="0" applyNumberFormat="1" applyBorder="1" applyAlignment="1">
      <alignment horizontal="left" vertical="center" indent="1"/>
    </xf>
    <xf numFmtId="0" fontId="0" fillId="0" borderId="11" xfId="0" applyBorder="1" applyAlignment="1">
      <alignment horizontal="center" vertical="center"/>
    </xf>
    <xf numFmtId="49" fontId="0" fillId="0" borderId="12" xfId="0" applyNumberForma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" vertical="center"/>
    </xf>
    <xf numFmtId="43" fontId="0" fillId="0" borderId="0" xfId="0" applyNumberFormat="1"/>
    <xf numFmtId="49" fontId="13" fillId="34" borderId="13" xfId="0" applyNumberFormat="1" applyFont="1" applyFill="1" applyBorder="1" applyAlignment="1">
      <alignment horizontal="center" vertical="top"/>
    </xf>
    <xf numFmtId="49" fontId="13" fillId="34" borderId="13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3" fillId="33" borderId="0" xfId="0" applyFont="1" applyFill="1" applyAlignment="1">
      <alignment horizontal="center" vertical="top" wrapText="1"/>
    </xf>
    <xf numFmtId="43" fontId="13" fillId="33" borderId="0" xfId="44" applyFont="1" applyFill="1" applyBorder="1" applyAlignment="1">
      <alignment horizontal="center" vertical="top" wrapText="1"/>
    </xf>
    <xf numFmtId="43" fontId="0" fillId="0" borderId="0" xfId="44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vertical="top"/>
    </xf>
    <xf numFmtId="43" fontId="0" fillId="0" borderId="0" xfId="0" applyNumberFormat="1" applyAlignment="1">
      <alignment horizontal="center" vertical="top" wrapText="1"/>
    </xf>
    <xf numFmtId="1" fontId="0" fillId="0" borderId="14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49" fontId="0" fillId="0" borderId="14" xfId="0" applyNumberFormat="1" applyBorder="1" applyAlignment="1">
      <alignment horizontal="left" vertical="top" wrapText="1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left" vertical="top" wrapText="1" indent="1"/>
    </xf>
    <xf numFmtId="49" fontId="0" fillId="0" borderId="14" xfId="0" applyNumberFormat="1" applyBorder="1" applyAlignment="1">
      <alignment horizontal="center" vertical="center"/>
    </xf>
    <xf numFmtId="43" fontId="0" fillId="0" borderId="14" xfId="44" applyFont="1" applyBorder="1" applyAlignment="1">
      <alignment horizontal="center" wrapText="1"/>
    </xf>
    <xf numFmtId="0" fontId="0" fillId="0" borderId="14" xfId="0" applyBorder="1" applyAlignment="1">
      <alignment horizontal="left" vertical="center"/>
    </xf>
    <xf numFmtId="49" fontId="0" fillId="0" borderId="14" xfId="12" applyNumberFormat="1" applyFont="1" applyFill="1" applyBorder="1" applyAlignment="1">
      <alignment horizontal="left" vertical="center" wrapText="1" indent="1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43" fontId="0" fillId="0" borderId="14" xfId="12" applyNumberFormat="1" applyFont="1" applyFill="1" applyBorder="1" applyAlignment="1">
      <alignment horizontal="center" wrapText="1"/>
    </xf>
    <xf numFmtId="49" fontId="0" fillId="0" borderId="14" xfId="12" applyNumberFormat="1" applyFont="1" applyFill="1" applyBorder="1" applyAlignment="1">
      <alignment horizontal="left" vertical="center" wrapText="1" indent="2"/>
    </xf>
    <xf numFmtId="49" fontId="0" fillId="0" borderId="15" xfId="12" applyNumberFormat="1" applyFont="1" applyFill="1" applyBorder="1" applyAlignment="1">
      <alignment horizontal="left" vertical="center" wrapText="1" indent="1"/>
    </xf>
    <xf numFmtId="49" fontId="0" fillId="0" borderId="15" xfId="0" applyNumberFormat="1" applyBorder="1" applyAlignment="1">
      <alignment horizontal="left" vertical="top" wrapText="1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indent="1"/>
    </xf>
    <xf numFmtId="49" fontId="20" fillId="0" borderId="0" xfId="0" applyNumberFormat="1" applyFont="1" applyAlignment="1">
      <alignment horizontal="left" vertical="center" indent="1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wrapText="1"/>
    </xf>
    <xf numFmtId="49" fontId="20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horizontal="left" vertical="center" indent="2"/>
    </xf>
    <xf numFmtId="0" fontId="22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0" fillId="0" borderId="0" xfId="0" pivotButton="1" applyAlignment="1">
      <alignment wrapText="1"/>
    </xf>
    <xf numFmtId="0" fontId="0" fillId="0" borderId="0" xfId="0" pivotButton="1" applyAlignment="1">
      <alignment vertical="top" wrapText="1"/>
    </xf>
    <xf numFmtId="43" fontId="0" fillId="0" borderId="0" xfId="0" applyNumberFormat="1" applyAlignment="1">
      <alignment vertical="top"/>
    </xf>
    <xf numFmtId="43" fontId="0" fillId="0" borderId="0" xfId="0" applyNumberFormat="1" applyAlignment="1">
      <alignment horizontal="right"/>
    </xf>
    <xf numFmtId="43" fontId="0" fillId="0" borderId="0" xfId="44" applyFont="1" applyFill="1" applyBorder="1" applyAlignment="1">
      <alignment horizontal="right"/>
    </xf>
    <xf numFmtId="43" fontId="0" fillId="0" borderId="0" xfId="44" applyFont="1" applyAlignment="1">
      <alignment vertical="top"/>
    </xf>
    <xf numFmtId="0" fontId="0" fillId="0" borderId="0" xfId="0" applyAlignment="1"/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3" builtinId="8" hidde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4" builtinId="3"/>
    <cellStyle name="Хороший" xfId="6" builtinId="26" customBuiltin="1"/>
  </cellStyles>
  <dxfs count="186">
    <dxf>
      <alignment wrapText="1"/>
    </dxf>
    <dxf>
      <alignment vertical="top"/>
    </dxf>
    <dxf>
      <alignment vertical="top"/>
    </dxf>
    <dxf>
      <numFmt numFmtId="35" formatCode="_-* #,##0.00_-;\-* #,##0.00_-;_-* &quot;-&quot;??_-;_-@_-"/>
    </dxf>
    <dxf>
      <alignment wrapText="1"/>
    </dxf>
    <dxf>
      <alignment vertical="top"/>
    </dxf>
    <dxf>
      <alignment wrapText="1"/>
    </dxf>
    <dxf>
      <alignment horizontal="center"/>
    </dxf>
    <dxf>
      <alignment horizont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center"/>
    </dxf>
    <dxf>
      <alignment vertical="top"/>
    </dxf>
    <dxf>
      <alignment vertical="top"/>
    </dxf>
    <dxf>
      <numFmt numFmtId="35" formatCode="_-* #,##0.00_-;\-* #,##0.00_-;_-* &quot;-&quot;??_-;_-@_-"/>
    </dxf>
    <dxf>
      <alignment vertical="center"/>
    </dxf>
    <dxf>
      <alignment vertical="top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47B5E"/>
        </patternFill>
      </fill>
    </dxf>
    <dxf>
      <fill>
        <patternFill>
          <bgColor rgb="FFF5B487"/>
        </patternFill>
      </fill>
    </dxf>
    <dxf>
      <fill>
        <patternFill>
          <bgColor rgb="FFFFFF99"/>
        </patternFill>
      </fill>
    </dxf>
    <dxf>
      <fill>
        <patternFill>
          <bgColor rgb="FF84A2D8"/>
        </patternFill>
      </fill>
    </dxf>
    <dxf>
      <fill>
        <patternFill>
          <bgColor rgb="FFFF0000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 patternType="solid">
          <fgColor indexed="64"/>
          <bgColor rgb="FFC9A6E4"/>
        </patternFill>
      </fill>
    </dxf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/>
    </dxf>
    <dxf>
      <alignment vertical="center"/>
    </dxf>
    <dxf>
      <numFmt numFmtId="35" formatCode="_-* #,##0.00_-;\-* #,##0.00_-;_-* &quot;-&quot;??_-;_-@_-"/>
    </dxf>
    <dxf>
      <alignment vertical="top"/>
    </dxf>
    <dxf>
      <alignment vertical="top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center"/>
    </dxf>
    <dxf>
      <alignment wrapText="1"/>
    </dxf>
    <dxf>
      <alignment vertical="top"/>
    </dxf>
    <dxf>
      <alignment wrapText="1"/>
    </dxf>
    <dxf>
      <numFmt numFmtId="35" formatCode="_-* #,##0.00_-;\-* #,##0.00_-;_-* &quot;-&quot;??_-;_-@_-"/>
    </dxf>
    <dxf>
      <alignment vertical="top"/>
    </dxf>
    <dxf>
      <alignment vertical="top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8"/>
          <bgColor theme="8"/>
        </patternFill>
      </fill>
      <alignment horizontal="center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5" formatCode="_-* #,##0.00_-;\-* #,##0.00_-;_-* &quot;-&quot;??_-;_-@_-"/>
      <alignment horizontal="center" vertical="bottom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left" vertical="top" textRotation="0" wrapText="1" relativeIndent="-1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left" vertical="top" textRotation="0" wrapText="1" relativeIndent="1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  <dxf>
      <alignment horizontal="left" vertical="top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0" defaultPivotStyle="PivotStyleLight16">
    <tableStyle name="Плоский стиль сводного представления" table="0" count="3" xr9:uid="{7E7469EB-6512-448A-9E72-F2B72DA20E69}">
      <tableStyleElement type="headerRow" dxfId="185"/>
      <tableStyleElement type="totalRow" dxfId="184"/>
      <tableStyleElement type="secondRowStripe" dxfId="183"/>
    </tableStyle>
  </tableStyles>
  <colors>
    <mruColors>
      <color rgb="FFF5B487"/>
      <color rgb="FFF47B5E"/>
      <color rgb="FFF25F3C"/>
      <color rgb="FFC9A6E4"/>
      <color rgb="FFF1E8F8"/>
      <color rgb="FFE4D2F2"/>
      <color rgb="FFF8D8E5"/>
      <color rgb="FF84A2D8"/>
      <color rgb="FFFFFF99"/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Иван Кукушкин" refreshedDate="45945.572178703704" backgroundQuery="1" createdVersion="8" refreshedVersion="8" minRefreshableVersion="3" recordCount="0" supportSubquery="1" supportAdvancedDrill="1" xr:uid="{B4C9610A-0905-469A-A180-90E1F6157402}">
  <cacheSource type="external" connectionId="1"/>
  <cacheFields count="7">
    <cacheField name="[TabSpecificationWork_1].[DESCRIPTION SET].[DESCRIPTION SET]" caption="DESCRIPTION SET" numFmtId="0" hierarchy="5" level="1">
      <sharedItems count="5">
        <s v="Комплект активного сетевого оборудования"/>
        <s v="Комплект активного сетевого оборудования с монтажным комплектом"/>
        <s v="Комплект модулей для активного сетевого оборудования"/>
        <s v="Комплект пассивного сетевого оборудования"/>
        <s v="Комплект программного обеспечения и лицензий"/>
      </sharedItems>
    </cacheField>
    <cacheField name="[TabSpecificationWork_1].[NUM PROJECT].[NUM PROJECT]" caption="NUM PROJECT" numFmtId="0" hierarchy="2" level="1">
      <sharedItems containsSemiMixedTypes="0" containsNonDate="0" containsString="0"/>
    </cacheField>
    <cacheField name="[Measures].[Сумма по столбцу COST PRICE $PURCHASE]" caption="Сумма по столбцу COST PRICE $PURCHASE" numFmtId="0" hierarchy="53" level="32767"/>
    <cacheField name="[TabSpecificationWork_1].[NAME PRODUCT].[NAME PRODUCT]" caption="NAME PRODUCT" numFmtId="0" hierarchy="11" level="1">
      <sharedItems count="11">
        <s v="OS3228"/>
        <s v="Шкаф с оптическим кроссом и встроенным коммутатором уличный, неуправляемый, 2 SFP-слота, РоЕ+"/>
        <s v="DEM-432XT"/>
        <s v="Модуль SFP с интерфейсом RJ45, до 100м"/>
        <s v="Оптический кросс 19&quot; 1U 16 портов"/>
        <s v="Патч-корд RG45 cat 6, 3 м желтый"/>
        <s v="Патч-корд RG45 cat 6, 3 м красный"/>
        <s v="Патч-корд RG45 cat 6, 3 м синий"/>
        <s v="Патч-корд оптический FC-LC-SM duplex"/>
        <s v="Патч-корд оптический LC-LC-SM duplex"/>
        <s v="Лицензии поддержки службы DPDK NVIDIA"/>
      </sharedItems>
    </cacheField>
    <cacheField name="[Measures].[Максимум в столбце QUANTITY TOTAL]" caption="Максимум в столбце QUANTITY TOTAL" numFmtId="0" hierarchy="59" level="32767"/>
    <cacheField name="[Measures].[Сумма по столбцу COST $TOTAL]" caption="Сумма по столбцу COST $TOTAL" numFmtId="0" hierarchy="55" level="32767"/>
    <cacheField name="[TabSpecificationWork_1].[isSHIPPED].[isSHIPPED]" caption="isSHIPPED" numFmtId="0" hierarchy="9" level="1">
      <sharedItems containsSemiMixedTypes="0" containsNonDate="0" containsString="0"/>
    </cacheField>
  </cacheFields>
  <cacheHierarchies count="61">
    <cacheHierarchy uniqueName="[TabSpecificationWork_1].[IDnum]" caption="IDnum" attribute="1" defaultMemberUniqueName="[TabSpecificationWork_1].[IDnum].[All]" allUniqueName="[TabSpecificationWork_1].[IDnum].[All]" dimensionUniqueName="[TabSpecificationWork_1]" displayFolder="" count="0" memberValueDatatype="20" unbalanced="0"/>
    <cacheHierarchy uniqueName="[TabSpecificationWork_1].[IDsource]" caption="IDsource" attribute="1" defaultMemberUniqueName="[TabSpecificationWork_1].[IDsource].[All]" allUniqueName="[TabSpecificationWork_1].[IDsource].[All]" dimensionUniqueName="[TabSpecificationWork_1]" displayFolder="" count="0" memberValueDatatype="20" unbalanced="0"/>
    <cacheHierarchy uniqueName="[TabSpecificationWork_1].[NUM PROJECT]" caption="NUM PROJECT" attribute="1" defaultMemberUniqueName="[TabSpecificationWork_1].[NUM PROJECT].[All]" allUniqueName="[TabSpecificationWork_1].[NUM PROJECT].[All]" dimensionUniqueName="[TabSpecificationWork_1]" displayFolder="" count="2" memberValueDatatype="130" unbalanced="0">
      <fieldsUsage count="2">
        <fieldUsage x="-1"/>
        <fieldUsage x="1"/>
      </fieldsUsage>
    </cacheHierarchy>
    <cacheHierarchy uniqueName="[TabSpecificationWork_1].[NUM ORDER]" caption="NUM ORDER" attribute="1" defaultMemberUniqueName="[TabSpecificationWork_1].[NUM ORDER].[All]" allUniqueName="[TabSpecificationWork_1].[NUM ORDER].[All]" dimensionUniqueName="[TabSpecificationWork_1]" displayFolder="" count="0" memberValueDatatype="130" unbalanced="0"/>
    <cacheHierarchy uniqueName="[TabSpecificationWork_1].[VER COLLECTION]" caption="VER COLLECTION" attribute="1" defaultMemberUniqueName="[TabSpecificationWork_1].[VER COLLECTION].[All]" allUniqueName="[TabSpecificationWork_1].[VER COLLECTION].[All]" dimensionUniqueName="[TabSpecificationWork_1]" displayFolder="" count="0" memberValueDatatype="20" unbalanced="0"/>
    <cacheHierarchy uniqueName="[TabSpecificationWork_1].[DESCRIPTION SET]" caption="DESCRIPTION SET" attribute="1" defaultMemberUniqueName="[TabSpecificationWork_1].[DESCRIPTION SET].[All]" allUniqueName="[TabSpecificationWork_1].[DESCRIPTION SET].[All]" dimensionUniqueName="[TabSpecificationWork_1]" displayFolder="" count="2" memberValueDatatype="130" unbalanced="0">
      <fieldsUsage count="2">
        <fieldUsage x="-1"/>
        <fieldUsage x="0"/>
      </fieldsUsage>
    </cacheHierarchy>
    <cacheHierarchy uniqueName="[TabSpecificationWork_1].[IDset]" caption="IDset" attribute="1" defaultMemberUniqueName="[TabSpecificationWork_1].[IDset].[All]" allUniqueName="[TabSpecificationWork_1].[IDset].[All]" dimensionUniqueName="[TabSpecificationWork_1]" displayFolder="" count="0" memberValueDatatype="20" unbalanced="0"/>
    <cacheHierarchy uniqueName="[TabSpecificationWork_1].[NUM SEQUENCE SET]" caption="NUM SEQUENCE SET" attribute="1" defaultMemberUniqueName="[TabSpecificationWork_1].[NUM SEQUENCE SET].[All]" allUniqueName="[TabSpecificationWork_1].[NUM SEQUENCE SET].[All]" dimensionUniqueName="[TabSpecificationWork_1]" displayFolder="" count="0" memberValueDatatype="20" unbalanced="0"/>
    <cacheHierarchy uniqueName="[TabSpecificationWork_1].[NUM FULL SET]" caption="NUM FULL SET" attribute="1" defaultMemberUniqueName="[TabSpecificationWork_1].[NUM FULL SET].[All]" allUniqueName="[TabSpecificationWork_1].[NUM FULL SET].[All]" dimensionUniqueName="[TabSpecificationWork_1]" displayFolder="" count="0" memberValueDatatype="130" unbalanced="0"/>
    <cacheHierarchy uniqueName="[TabSpecificationWork_1].[isSHIPPED]" caption="isSHIPPED" attribute="1" defaultMemberUniqueName="[TabSpecificationWork_1].[isSHIPPED].[All]" allUniqueName="[TabSpecificationWork_1].[isSHIPPED].[All]" dimensionUniqueName="[TabSpecificationWork_1]" displayFolder="" count="2" memberValueDatatype="130" unbalanced="0">
      <fieldsUsage count="2">
        <fieldUsage x="-1"/>
        <fieldUsage x="6"/>
      </fieldsUsage>
    </cacheHierarchy>
    <cacheHierarchy uniqueName="[TabSpecificationWork_1].[HASH COLLECTION]" caption="HASH COLLECTION" attribute="1" defaultMemberUniqueName="[TabSpecificationWork_1].[HASH COLLECTION].[All]" allUniqueName="[TabSpecificationWork_1].[HASH COLLECTION].[All]" dimensionUniqueName="[TabSpecificationWork_1]" displayFolder="" count="0" memberValueDatatype="130" unbalanced="0"/>
    <cacheHierarchy uniqueName="[TabSpecificationWork_1].[NAME PRODUCT]" caption="NAME PRODUCT" attribute="1" defaultMemberUniqueName="[TabSpecificationWork_1].[NAME PRODUCT].[All]" allUniqueName="[TabSpecificationWork_1].[NAME PRODUCT].[All]" dimensionUniqueName="[TabSpecificationWork_1]" displayFolder="" count="2" memberValueDatatype="130" unbalanced="0">
      <fieldsUsage count="2">
        <fieldUsage x="-1"/>
        <fieldUsage x="3"/>
      </fieldsUsage>
    </cacheHierarchy>
    <cacheHierarchy uniqueName="[TabSpecificationWork_1].[DESCRIPTION PRODUCT]" caption="DESCRIPTION PRODUCT" attribute="1" defaultMemberUniqueName="[TabSpecificationWork_1].[DESCRIPTION PRODUCT].[All]" allUniqueName="[TabSpecificationWork_1].[DESCRIPTION PRODUCT].[All]" dimensionUniqueName="[TabSpecificationWork_1]" displayFolder="" count="0" memberValueDatatype="130" unbalanced="0"/>
    <cacheHierarchy uniqueName="[TabSpecificationWork_1].[BRAND]" caption="BRAND" attribute="1" defaultMemberUniqueName="[TabSpecificationWork_1].[BRAND].[All]" allUniqueName="[TabSpecificationWork_1].[BRAND].[All]" dimensionUniqueName="[TabSpecificationWork_1]" displayFolder="" count="0" memberValueDatatype="130" unbalanced="0"/>
    <cacheHierarchy uniqueName="[TabSpecificationWork_1].[SUPPLIER]" caption="SUPPLIER" attribute="1" defaultMemberUniqueName="[TabSpecificationWork_1].[SUPPLIER].[All]" allUniqueName="[TabSpecificationWork_1].[SUPPLIER].[All]" dimensionUniqueName="[TabSpecificationWork_1]" displayFolder="" count="0" memberValueDatatype="130" unbalanced="0"/>
    <cacheHierarchy uniqueName="[TabSpecificationWork_1].[ARTICLE SUPPLIER]" caption="ARTICLE SUPPLIER" attribute="1" defaultMemberUniqueName="[TabSpecificationWork_1].[ARTICLE SUPPLIER].[All]" allUniqueName="[TabSpecificationWork_1].[ARTICLE SUPPLIER].[All]" dimensionUniqueName="[TabSpecificationWork_1]" displayFolder="" count="0" memberValueDatatype="130" unbalanced="0"/>
    <cacheHierarchy uniqueName="[TabSpecificationWork_1].[ARTICLE INTERNAL]" caption="ARTICLE INTERNAL" attribute="1" defaultMemberUniqueName="[TabSpecificationWork_1].[ARTICLE INTERNAL].[All]" allUniqueName="[TabSpecificationWork_1].[ARTICLE INTERNAL].[All]" dimensionUniqueName="[TabSpecificationWork_1]" displayFolder="" count="0" memberValueDatatype="130" unbalanced="0"/>
    <cacheHierarchy uniqueName="[TabSpecificationWork_1].[UNITS]" caption="UNITS" attribute="1" defaultMemberUniqueName="[TabSpecificationWork_1].[UNITS].[All]" allUniqueName="[TabSpecificationWork_1].[UNITS].[All]" dimensionUniqueName="[TabSpecificationWork_1]" displayFolder="" count="0" memberValueDatatype="130" unbalanced="0"/>
    <cacheHierarchy uniqueName="[TabSpecificationWork_1].[QUANTITY SET]" caption="QUANTITY SET" attribute="1" defaultMemberUniqueName="[TabSpecificationWork_1].[QUANTITY SET].[All]" allUniqueName="[TabSpecificationWork_1].[QUANTITY SET].[All]" dimensionUniqueName="[TabSpecificationWork_1]" displayFolder="" count="0" memberValueDatatype="20" unbalanced="0"/>
    <cacheHierarchy uniqueName="[TabSpecificationWork_1].[QUANTITY SHIPPED SET]" caption="QUANTITY SHIPPED SET" attribute="1" defaultMemberUniqueName="[TabSpecificationWork_1].[QUANTITY SHIPPED SET].[All]" allUniqueName="[TabSpecificationWork_1].[QUANTITY SHIPPED SET].[All]" dimensionUniqueName="[TabSpecificationWork_1]" displayFolder="" count="0" memberValueDatatype="20" unbalanced="0"/>
    <cacheHierarchy uniqueName="[TabSpecificationWork_1].[QUANTITY TOTAL]" caption="QUANTITY TOTAL" attribute="1" defaultMemberUniqueName="[TabSpecificationWork_1].[QUANTITY TOTAL].[All]" allUniqueName="[TabSpecificationWork_1].[QUANTITY TOTAL].[All]" dimensionUniqueName="[TabSpecificationWork_1]" displayFolder="" count="0" memberValueDatatype="20" unbalanced="0"/>
    <cacheHierarchy uniqueName="[TabSpecificationWork_1].[QUANTITY SUPPLIER]" caption="QUANTITY SUPPLIER" attribute="1" defaultMemberUniqueName="[TabSpecificationWork_1].[QUANTITY SUPPLIER].[All]" allUniqueName="[TabSpecificationWork_1].[QUANTITY SUPPLIER].[All]" dimensionUniqueName="[TabSpecificationWork_1]" displayFolder="" count="0" memberValueDatatype="20" unbalanced="0"/>
    <cacheHierarchy uniqueName="[TabSpecificationWork_1].[PRICE UNIT $PURCHASE]" caption="PRICE UNIT $PURCHASE" attribute="1" defaultMemberUniqueName="[TabSpecificationWork_1].[PRICE UNIT $PURCHASE].[All]" allUniqueName="[TabSpecificationWork_1].[PRICE UNIT $PURCHASE].[All]" dimensionUniqueName="[TabSpecificationWork_1]" displayFolder="" count="0" memberValueDatatype="20" unbalanced="0"/>
    <cacheHierarchy uniqueName="[TabSpecificationWork_1].[COST PRICE $PURCHASE]" caption="COST PRICE $PURCHASE" attribute="1" defaultMemberUniqueName="[TabSpecificationWork_1].[COST PRICE $PURCHASE].[All]" allUniqueName="[TabSpecificationWork_1].[COST PRICE $PURCHASE].[All]" dimensionUniqueName="[TabSpecificationWork_1]" displayFolder="" count="0" memberValueDatatype="20" unbalanced="0"/>
    <cacheHierarchy uniqueName="[TabSpecificationWork_1].[TCP SOURCE]" caption="TCP SOURCE" attribute="1" defaultMemberUniqueName="[TabSpecificationWork_1].[TCP SOURCE].[All]" allUniqueName="[TabSpecificationWork_1].[TCP SOURCE].[All]" dimensionUniqueName="[TabSpecificationWork_1]" displayFolder="" count="0" memberValueDatatype="130" unbalanced="0"/>
    <cacheHierarchy uniqueName="[TabSpecificationWork_1].[COMMENT WORK]" caption="COMMENT WORK" attribute="1" defaultMemberUniqueName="[TabSpecificationWork_1].[COMMENT WORK].[All]" allUniqueName="[TabSpecificationWork_1].[COMMENT WORK].[All]" dimensionUniqueName="[TabSpecificationWork_1]" displayFolder="" count="0" memberValueDatatype="130" unbalanced="0"/>
    <cacheHierarchy uniqueName="[TabSpecificationWork_1].[URL PRODUCT]" caption="URL PRODUCT" attribute="1" defaultMemberUniqueName="[TabSpecificationWork_1].[URL PRODUCT].[All]" allUniqueName="[TabSpecificationWork_1].[URL PRODUCT].[All]" dimensionUniqueName="[TabSpecificationWork_1]" displayFolder="" count="0" memberValueDatatype="130" unbalanced="0"/>
    <cacheHierarchy uniqueName="[TabSpecificationWork_1].[IMAGE PRODUCT]" caption="IMAGE PRODUCT" attribute="1" defaultMemberUniqueName="[TabSpecificationWork_1].[IMAGE PRODUCT].[All]" allUniqueName="[TabSpecificationWork_1].[IMAGE PRODUCT].[All]" dimensionUniqueName="[TabSpecificationWork_1]" displayFolder="" count="0" memberValueDatatype="130" unbalanced="0"/>
    <cacheHierarchy uniqueName="[TabSpecificationWork_2].[HASH COLLECTION]" caption="HASH COLLECTION" attribute="1" defaultMemberUniqueName="[TabSpecificationWork_2].[HASH COLLECTION].[All]" allUniqueName="[TabSpecificationWork_2].[HASH COLLECTION].[All]" dimensionUniqueName="[TabSpecificationWork_2]" displayFolder="" count="0" memberValueDatatype="130" unbalanced="0"/>
    <cacheHierarchy uniqueName="[TabSpecificationWork_2].[COEFFICIENT MARKUP]" caption="COEFFICIENT MARKUP" attribute="1" defaultMemberUniqueName="[TabSpecificationWork_2].[COEFFICIENT MARKUP].[All]" allUniqueName="[TabSpecificationWork_2].[COEFFICIENT MARKUP].[All]" dimensionUniqueName="[TabSpecificationWork_2]" displayFolder="" count="0" memberValueDatatype="5" unbalanced="0"/>
    <cacheHierarchy uniqueName="[TabSpecificationWork_2].[PRICE UNIT $SALE]" caption="PRICE UNIT $SALE" attribute="1" defaultMemberUniqueName="[TabSpecificationWork_2].[PRICE UNIT $SALE].[All]" allUniqueName="[TabSpecificationWork_2].[PRICE UNIT $SALE].[All]" dimensionUniqueName="[TabSpecificationWork_2]" displayFolder="" count="0" memberValueDatatype="5" unbalanced="0"/>
    <cacheHierarchy uniqueName="[TabSpecificationWork_2].[COST DEAL $SALE]" caption="COST DEAL $SALE" attribute="1" defaultMemberUniqueName="[TabSpecificationWork_2].[COST DEAL $SALE].[All]" allUniqueName="[TabSpecificationWork_2].[COST DEAL $SALE].[All]" dimensionUniqueName="[TabSpecificationWork_2]" displayFolder="" count="0" memberValueDatatype="5" unbalanced="0"/>
    <cacheHierarchy uniqueName="[TabSpecificationWork_2].[DISCOUNT PERCENT]" caption="DISCOUNT PERCENT" attribute="1" defaultMemberUniqueName="[TabSpecificationWork_2].[DISCOUNT PERCENT].[All]" allUniqueName="[TabSpecificationWork_2].[DISCOUNT PERCENT].[All]" dimensionUniqueName="[TabSpecificationWork_2]" displayFolder="" count="0" memberValueDatatype="20" unbalanced="0"/>
    <cacheHierarchy uniqueName="[TabSpecificationWork_2].[DISCOUNT MONEY]" caption="DISCOUNT MONEY" attribute="1" defaultMemberUniqueName="[TabSpecificationWork_2].[DISCOUNT MONEY].[All]" allUniqueName="[TabSpecificationWork_2].[DISCOUNT MONEY].[All]" dimensionUniqueName="[TabSpecificationWork_2]" displayFolder="" count="0" memberValueDatatype="20" unbalanced="0"/>
    <cacheHierarchy uniqueName="[TabSpecificationWork_2].[FORMULA SPECIFIC COST]" caption="FORMULA SPECIFIC COST" attribute="1" defaultMemberUniqueName="[TabSpecificationWork_2].[FORMULA SPECIFIC COST].[All]" allUniqueName="[TabSpecificationWork_2].[FORMULA SPECIFIC COST].[All]" dimensionUniqueName="[TabSpecificationWork_2]" displayFolder="" count="0" memberValueDatatype="130" unbalanced="0"/>
    <cacheHierarchy uniqueName="[TabSpecificationWork_2].[PRICE UNIT $TOTAL]" caption="PRICE UNIT $TOTAL" attribute="1" defaultMemberUniqueName="[TabSpecificationWork_2].[PRICE UNIT $TOTAL].[All]" allUniqueName="[TabSpecificationWork_2].[PRICE UNIT $TOTAL].[All]" dimensionUniqueName="[TabSpecificationWork_2]" displayFolder="" count="0" memberValueDatatype="5" unbalanced="0"/>
    <cacheHierarchy uniqueName="[TabSpecificationWork_2].[COST $TOTAL]" caption="COST $TOTAL" attribute="1" defaultMemberUniqueName="[TabSpecificationWork_2].[COST $TOTAL].[All]" allUniqueName="[TabSpecificationWork_2].[COST $TOTAL].[All]" dimensionUniqueName="[TabSpecificationWork_2]" displayFolder="" count="0" memberValueDatatype="5" unbalanced="0"/>
    <cacheHierarchy uniqueName="[TabSpecificationWork_2].[DURATION SALE $TOTAL]" caption="DURATION SALE $TOTAL" attribute="1" defaultMemberUniqueName="[TabSpecificationWork_2].[DURATION SALE $TOTAL].[All]" allUniqueName="[TabSpecificationWork_2].[DURATION SALE $TOTAL].[All]" dimensionUniqueName="[TabSpecificationWork_2]" displayFolder="" count="0" memberValueDatatype="130" unbalanced="0"/>
    <cacheHierarchy uniqueName="[TabSpecificationWork_2].[isSUPPLIED]" caption="isSUPPLIED" attribute="1" defaultMemberUniqueName="[TabSpecificationWork_2].[isSUPPLIED].[All]" allUniqueName="[TabSpecificationWork_2].[isSUPPLIED].[All]" dimensionUniqueName="[TabSpecificationWork_2]" displayFolder="" count="0" memberValueDatatype="130" unbalanced="0"/>
    <cacheHierarchy uniqueName="[TabSpecificationWork_2].[isPROCESSING]" caption="isPROCESSING" attribute="1" defaultMemberUniqueName="[TabSpecificationWork_2].[isPROCESSING].[All]" allUniqueName="[TabSpecificationWork_2].[isPROCESSING].[All]" dimensionUniqueName="[TabSpecificationWork_2]" displayFolder="" count="0" memberValueDatatype="130" unbalanced="0"/>
    <cacheHierarchy uniqueName="[TabSpecificationWork_2].[COMMENT CUSTOMER]" caption="COMMENT CUSTOMER" attribute="1" defaultMemberUniqueName="[TabSpecificationWork_2].[COMMENT CUSTOMER].[All]" allUniqueName="[TabSpecificationWork_2].[COMMENT CUSTOMER].[All]" dimensionUniqueName="[TabSpecificationWork_2]" displayFolder="" count="0" memberValueDatatype="130" unbalanced="0"/>
    <cacheHierarchy uniqueName="[Measures].[__XL_Count TabSpecificationWork_1]" caption="__XL_Count TabSpecificationWork_1" measure="1" displayFolder="" measureGroup="TabSpecificationWork_1" count="0" hidden="1"/>
    <cacheHierarchy uniqueName="[Measures].[__XL_Count TabSpecificationWork_2]" caption="__XL_Count TabSpecificationWork_2" measure="1" displayFolder="" measureGroup="TabSpecificationWork_2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COEFFICIENT MARKUP]" caption="Сумма по столбцу COEFFICIENT MARKUP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RICE UNIT $SALE]" caption="Сумма по столбцу PRICE UNIT $SALE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COST DEAL $SALE]" caption="Сумма по столбцу COST DEAL $SALE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DISCOUNT PERCENT]" caption="Сумма по столбцу DISCOUNT PERCENT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DISCOUNT MONEY]" caption="Сумма по столбцу DISCOUNT MONEY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QUANTITY SET]" caption="Сумма по столбцу QUANTITY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QUANTITY SHIPPED SET]" caption="Сумма по столбцу QUANTITY SHIPPED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ма по столбцу QUANTITY TOTAL]" caption="Сумма по столбцу QUANTITY TOTAL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IDset]" caption="Число элементов в столбце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COST PRICE $PURCHASE]" caption="Сумма по столбцу COST PRICE $PURCHASE" measure="1" displayFolder="" measureGroup="TabSpecificationWork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Максимум в столбце COST PRICE $PURCHASE]" caption="Максимум в столбце COST PRICE $PURCHASE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умма по столбцу COST $TOTAL]" caption="Сумма по столбцу COST $TOTAL" measure="1" displayFolder="" measureGroup="TabSpecificationWork_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Максимум в столбце COST $TOTAL]" caption="Максимум в столбце COST $TOTAL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IDset]" caption="Сумма по столбцу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Максимум в столбце IDset]" caption="Максимум в столбце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Максимум в столбце QUANTITY TOTAL]" caption="Максимум в столбце QUANTITY TOTAL" measure="1" displayFolder="" measureGroup="TabSpecificationWork_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NUM FULL SET]" caption="Число элементов в столбце NUM FULL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TabSpecificationWork_1" uniqueName="[TabSpecificationWork_1]" caption="TabSpecificationWork_1"/>
    <dimension name="TabSpecificationWork_2" uniqueName="[TabSpecificationWork_2]" caption="TabSpecificationWork_2"/>
  </dimensions>
  <measureGroups count="2">
    <measureGroup name="TabSpecificationWork_1" caption="TabSpecificationWork_1"/>
    <measureGroup name="TabSpecificationWork_2" caption="TabSpecificationWork_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30F92-2C79-4E2B-A25C-57BFA29CC982}" name="Сводная таблица7" cacheId="3" applyNumberFormats="0" applyBorderFormats="0" applyFontFormats="0" applyPatternFormats="0" applyAlignmentFormats="0" applyWidthHeightFormats="1" dataCaption="Значения" tag="50e29880-fb16-401c-a6e9-1e6c127231d5" updatedVersion="8" minRefreshableVersion="3" subtotalHiddenItems="1" itemPrintTitles="1" createdVersion="8" indent="0" showEmptyRow="1" outline="1" outlineData="1" multipleFieldFilters="0" rowHeaderCaption="НАИМЕНОВАНИЕ ПОЗИЦИИ">
  <location ref="A5:D22" firstHeaderRow="0" firstDataRow="1" firstDataCol="1" rowPageCount="2" colPageCount="1"/>
  <pivotFields count="7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3"/>
  </rowFields>
  <rowItems count="17">
    <i>
      <x/>
    </i>
    <i r="1">
      <x/>
    </i>
    <i>
      <x v="1"/>
    </i>
    <i r="1">
      <x v="1"/>
    </i>
    <i>
      <x v="2"/>
    </i>
    <i r="1">
      <x v="2"/>
    </i>
    <i r="1">
      <x v="3"/>
    </i>
    <i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2" name="[TabSpecificationWork_1].[NUM PROJECT].[All]" cap="All"/>
    <pageField fld="6" hier="9" name="[TabSpecificationWork_1].[isSHIPPED].[All]" cap="All"/>
  </pageFields>
  <dataFields count="3">
    <dataField name="QUANTITY TOTAL" fld="4" subtotal="max" baseField="0" baseItem="0"/>
    <dataField name="COST PRICE $PURCHASE" fld="2" baseField="0" baseItem="0"/>
    <dataField name="COST $TOTAL" fld="5" baseField="0" baseItem="0"/>
  </dataFields>
  <formats count="33">
    <format dxfId="135">
      <pivotArea dataOnly="0" labelOnly="1" outline="0" axis="axisValues" fieldPosition="0"/>
    </format>
    <format dxfId="134">
      <pivotArea dataOnly="0" labelOnly="1" outline="0" axis="axisValues" fieldPosition="0"/>
    </format>
    <format dxfId="133">
      <pivotArea field="0" type="button" dataOnly="0" labelOnly="1" outline="0" axis="axisRow" fieldPosition="0"/>
    </format>
    <format dxfId="132">
      <pivotArea dataOnly="0" outline="0" fieldPosition="0">
        <references count="1">
          <reference field="4294967294" count="1">
            <x v="1"/>
          </reference>
        </references>
      </pivotArea>
    </format>
    <format dxfId="131">
      <pivotArea dataOnly="0" outline="0" fieldPosition="0">
        <references count="1">
          <reference field="4294967294" count="1">
            <x v="1"/>
          </reference>
        </references>
      </pivotArea>
    </format>
    <format dxfId="130">
      <pivotArea dataOnly="0" outline="0" fieldPosition="0">
        <references count="1">
          <reference field="4294967294" count="1">
            <x v="1"/>
          </reference>
        </references>
      </pivotArea>
    </format>
    <format dxfId="129">
      <pivotArea dataOnly="0" outline="0" fieldPosition="0">
        <references count="1">
          <reference field="4294967294" count="1">
            <x v="0"/>
          </reference>
        </references>
      </pivotArea>
    </format>
    <format dxfId="128">
      <pivotArea dataOnly="0" outline="0" fieldPosition="0">
        <references count="1">
          <reference field="4294967294" count="1">
            <x v="0"/>
          </reference>
        </references>
      </pivotArea>
    </format>
    <format dxfId="127">
      <pivotArea dataOnly="0" outline="0" fieldPosition="0">
        <references count="1">
          <reference field="4294967294" count="1">
            <x v="1"/>
          </reference>
        </references>
      </pivotArea>
    </format>
    <format dxfId="126">
      <pivotArea field="1" type="button" dataOnly="0" labelOnly="1" outline="0" axis="axisPage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121">
      <pivotArea dataOnly="0" labelOnly="1" fieldPosition="0">
        <references count="2">
          <reference field="0" count="1" selected="0">
            <x v="1"/>
          </reference>
          <reference field="3" count="1">
            <x v="1"/>
          </reference>
        </references>
      </pivotArea>
    </format>
    <format dxfId="120">
      <pivotArea dataOnly="0" labelOnly="1" fieldPosition="0">
        <references count="2">
          <reference field="0" count="1" selected="0">
            <x v="2"/>
          </reference>
          <reference field="3" count="2">
            <x v="2"/>
            <x v="3"/>
          </reference>
        </references>
      </pivotArea>
    </format>
    <format dxfId="119">
      <pivotArea dataOnly="0" labelOnly="1" fieldPosition="0">
        <references count="2">
          <reference field="0" count="1" selected="0">
            <x v="3"/>
          </reference>
          <reference field="3" count="2">
            <x v="4"/>
            <x v="8"/>
          </reference>
        </references>
      </pivotArea>
    </format>
    <format dxfId="118">
      <pivotArea dataOnly="0" labelOnly="1" fieldPosition="0">
        <references count="2">
          <reference field="0" count="1" selected="0">
            <x v="4"/>
          </reference>
          <reference field="3" count="1">
            <x v="10"/>
          </reference>
        </references>
      </pivotArea>
    </format>
    <format dxfId="117">
      <pivotArea field="1" type="button" dataOnly="0" labelOnly="1" outline="0" axis="axisPage" fieldPosition="0"/>
    </format>
    <format dxfId="116">
      <pivotArea field="0" type="button" dataOnly="0" labelOnly="1" outline="0" axis="axisRow" fieldPosition="0"/>
    </format>
    <format dxfId="115">
      <pivotArea dataOnly="0" labelOnly="1" fieldPosition="0">
        <references count="1">
          <reference field="0" count="0"/>
        </references>
      </pivotArea>
    </format>
    <format dxfId="114">
      <pivotArea dataOnly="0" labelOnly="1" grandRow="1" outline="0" fieldPosition="0"/>
    </format>
    <format dxfId="113">
      <pivotArea dataOnly="0" labelOnly="1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112">
      <pivotArea dataOnly="0" labelOnly="1" fieldPosition="0">
        <references count="2">
          <reference field="0" count="1" selected="0">
            <x v="1"/>
          </reference>
          <reference field="3" count="1">
            <x v="1"/>
          </reference>
        </references>
      </pivotArea>
    </format>
    <format dxfId="111">
      <pivotArea dataOnly="0" labelOnly="1" fieldPosition="0">
        <references count="2">
          <reference field="0" count="1" selected="0">
            <x v="2"/>
          </reference>
          <reference field="3" count="2">
            <x v="2"/>
            <x v="3"/>
          </reference>
        </references>
      </pivotArea>
    </format>
    <format dxfId="110">
      <pivotArea dataOnly="0" labelOnly="1" fieldPosition="0">
        <references count="2">
          <reference field="0" count="1" selected="0">
            <x v="3"/>
          </reference>
          <reference field="3" count="6">
            <x v="4"/>
            <x v="5"/>
            <x v="6"/>
            <x v="7"/>
            <x v="8"/>
            <x v="9"/>
          </reference>
        </references>
      </pivotArea>
    </format>
    <format dxfId="109">
      <pivotArea dataOnly="0" labelOnly="1" fieldPosition="0">
        <references count="2">
          <reference field="0" count="1" selected="0">
            <x v="4"/>
          </reference>
          <reference field="3" count="1">
            <x v="10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5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4">
      <pivotArea dataOnly="0" outline="0" fieldPosition="0">
        <references count="1">
          <reference field="4294967294" count="1">
            <x v="0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ST PRICE $PURCHASE"/>
    <pivotHierarchy dragToData="1" caption="Максимум в столбце COST PRICE $PURCHASE"/>
    <pivotHierarchy dragToData="1" caption="COST $TOTAL"/>
    <pivotHierarchy dragToData="1" caption="Максимум в столбце COST $TOTAL"/>
    <pivotHierarchy dragToData="1"/>
    <pivotHierarchy dragToData="1" caption="IDset"/>
    <pivotHierarchy dragToData="1" caption="QUANTITY TOTAL"/>
    <pivotHierarchy dragToData="1"/>
  </pivotHierarchies>
  <pivotTableStyleInfo name="PivotStyleMedium6" showRowHeaders="1" showColHeaders="1" showRowStripes="0" showColStripes="0" showLastColumn="1"/>
  <rowHierarchiesUsage count="2">
    <rowHierarchyUsage hierarchyUsage="5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SpecificationWork_1]"/>
        <x15:activeTabTopLevelEntity name="[TabSpecificationWork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AF17E717-7B70-4CA4-86E7-63CFF8DFFC6E}" autoFormatId="16" applyNumberFormats="0" applyBorderFormats="0" applyFontFormats="0" applyPatternFormats="0" applyAlignmentFormats="0" applyWidthHeightFormats="0">
  <queryTableRefresh nextId="3">
    <queryTableFields count="2">
      <queryTableField id="1" name="IDnum" tableColumnId="1"/>
      <queryTableField id="2" name="IDprojectfull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3" xr16:uid="{DB1788FE-EABE-4806-8AE4-8B463E76D40B}" autoFormatId="16" applyNumberFormats="0" applyBorderFormats="0" applyFontFormats="0" applyPatternFormats="0" applyAlignmentFormats="0" applyWidthHeightFormats="0">
  <queryTableRefresh nextId="3">
    <queryTableFields count="2">
      <queryTableField id="1" name="IDvendor" tableColumnId="1"/>
      <queryTableField id="2" name="BRAN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5FF5EC87-6B47-4F56-B531-6311735B8657}" autoFormatId="16" applyNumberFormats="0" applyBorderFormats="0" applyFontFormats="0" applyPatternFormats="0" applyAlignmentFormats="0" applyWidthHeightFormats="0">
  <queryTableRefresh nextId="6">
    <queryTableFields count="2">
      <queryTableField id="3" name="IDsupplier" tableColumnId="1"/>
      <queryTableField id="2" name="COMPANY_LABE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0" xr16:uid="{FAC7B856-09A1-469F-B852-89448551726D}" autoFormatId="16" applyNumberFormats="0" applyBorderFormats="0" applyFontFormats="0" applyPatternFormats="0" applyAlignmentFormats="0" applyWidthHeightFormats="0">
  <queryTableRefresh nextId="3">
    <queryTableFields count="2">
      <queryTableField id="1" name="IDnum" tableColumnId="1"/>
      <queryTableField id="2" name="UNITS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2F276A-FCBF-4A3F-9BB6-CF6584DA62A7}" name="TabSpecificationWork_1" displayName="TabSpecificationWork_1" ref="A1:AB12" totalsRowShown="0" headerRowDxfId="182" dataDxfId="181">
  <autoFilter ref="A1:AB12" xr:uid="{442F276A-FCBF-4A3F-9BB6-CF6584DA62A7}"/>
  <tableColumns count="28">
    <tableColumn id="1" xr3:uid="{2A60F78A-557A-4C8A-A1E1-3BC16A6FE122}" name="IDnum" dataDxfId="180"/>
    <tableColumn id="2" xr3:uid="{541234E3-F4FB-40FB-94E5-C48A42522446}" name="IDsource" dataDxfId="179"/>
    <tableColumn id="3" xr3:uid="{0B672A4C-E7A8-4307-AEA0-96DB12CAE848}" name="NUM PROJECT" dataDxfId="178"/>
    <tableColumn id="4" xr3:uid="{7C886965-9CC6-4F70-9A26-CD62DE88EE22}" name="NUM ORDER" dataDxfId="177">
      <calculatedColumnFormula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calculatedColumnFormula>
    </tableColumn>
    <tableColumn id="5" xr3:uid="{6AFA91E3-22E0-4EE8-BAC1-9C0C6B682136}" name="VER COLLECTION" dataDxfId="176"/>
    <tableColumn id="29" xr3:uid="{7E06C33D-E17B-437A-A8A1-B05832931B53}" name="DESCRIPTION SET" dataDxfId="175"/>
    <tableColumn id="6" xr3:uid="{60524C36-7891-4CDA-9758-A81A6E347383}" name="IDset" dataDxfId="174"/>
    <tableColumn id="7" xr3:uid="{70377ED0-0798-4786-A968-A1092A705384}" name="NUM SEQUENCE SET" dataDxfId="173"/>
    <tableColumn id="8" xr3:uid="{CD27A90F-05C1-4D45-8DD6-EA7D25D8F06C}" name="NUM FULL SET" dataDxfId="172">
      <calculatedColumnFormula>CONCATENATE(TabSpecificationWork_1[[#This Row],[IDset]],".",TabSpecificationWork_1[[#This Row],[NUM SEQUENCE SET]])</calculatedColumnFormula>
    </tableColumn>
    <tableColumn id="25" xr3:uid="{152B1876-09E9-4A2D-B55C-ADC87B2900FA}" name="isSHIPPED" dataDxfId="171"/>
    <tableColumn id="10" xr3:uid="{FB51258F-427B-4495-A3E9-6E78E7532742}" name="HASH COLLECTION" dataDxfId="170">
      <calculatedColumnFormula>LOWER(CONCATENATE(TabSpecificationWork_1[[#This Row],[NUM PROJECT]],"-","ver_",TabSpecificationWork_1[[#This Row],[VER COLLECTION]],"-","set_",TabSpecificationWork_1[[#This Row],[NUM FULL SET]],"-",TabSpecificationWork_1[[#This Row],[isSHIPPED]]))</calculatedColumnFormula>
    </tableColumn>
    <tableColumn id="11" xr3:uid="{8A2D1173-F161-463D-A0BF-63FC7ED0B4FB}" name="NAME PRODUCT" dataDxfId="169"/>
    <tableColumn id="12" xr3:uid="{907BD0C9-0114-4638-A983-899356A9C869}" name="DESCRIPTION PRODUCT" dataDxfId="168"/>
    <tableColumn id="13" xr3:uid="{108EA91F-680B-4273-94E8-8FBCFFA1AC04}" name="BRAND" dataDxfId="167"/>
    <tableColumn id="14" xr3:uid="{E4861E4D-A0C8-4A11-B4AA-DFB3C64D4EB2}" name="SUPPLIER" dataDxfId="166"/>
    <tableColumn id="15" xr3:uid="{73475B39-6871-4833-BB24-BF8B8CF4E4A4}" name="ARTICLE SUPPLIER" dataDxfId="165"/>
    <tableColumn id="16" xr3:uid="{EDB46A9A-3B70-4724-AC00-E030C20DCA43}" name="ARTICLE INTERNAL" dataDxfId="164"/>
    <tableColumn id="17" xr3:uid="{57F8BAC9-CE7F-42C1-8751-D77B4DA60042}" name="UNITS" dataDxfId="163"/>
    <tableColumn id="18" xr3:uid="{9DED3F02-E50D-4A33-AD0A-34AC1D718EFF}" name="QUANTITY SET" dataDxfId="162"/>
    <tableColumn id="19" xr3:uid="{1EA71402-BB69-4112-A4BE-D366F7C82A46}" name="QUANTITY SHIPPED SET" dataDxfId="161"/>
    <tableColumn id="20" xr3:uid="{C8E53872-0682-484F-B8D2-9C2713240884}" name="QUANTITY TOTAL" dataDxfId="160">
      <calculatedColumnFormula>TabSpecificationWork_1[[#This Row],[QUANTITY SET]]*TabSpecificationWork_1[[#This Row],[QUANTITY SHIPPED SET]]</calculatedColumnFormula>
    </tableColumn>
    <tableColumn id="21" xr3:uid="{6E122565-E65B-4DE9-B185-5F011F19A6B3}" name="QUANTITY SUPPLIER" dataDxfId="159"/>
    <tableColumn id="22" xr3:uid="{53F2F633-89D3-455F-8FEB-8BFB964B4EEE}" name="PRICE UNIT $PURCHASE" dataDxfId="158" dataCellStyle="Связанная ячейка"/>
    <tableColumn id="23" xr3:uid="{1259C1D1-F564-4A60-AED0-29092D9824B4}" name="COST PRICE $PURCHASE" dataDxfId="157" dataCellStyle="Связанная ячейка">
      <calculatedColumnFormula>TabSpecificationWork_1[[#This Row],[QUANTITY TOTAL]]*TabSpecificationWork_1[[#This Row],[PRICE UNIT $PURCHASE]]</calculatedColumnFormula>
    </tableColumn>
    <tableColumn id="24" xr3:uid="{A6A3F092-CC96-46D5-9750-8770946F9610}" name="TCP SOURCE" dataDxfId="156" dataCellStyle="Связанная ячейка"/>
    <tableColumn id="26" xr3:uid="{5CD0038A-FD64-402C-8800-8B95AEF689DE}" name="COMMENT WORK" dataDxfId="155"/>
    <tableColumn id="27" xr3:uid="{56A4A92B-7C8A-4EA6-B69A-349B1E1957C2}" name="URL PRODUCT" dataDxfId="154"/>
    <tableColumn id="28" xr3:uid="{7B50AE56-BBC4-4A38-8A4E-3353F30717A3}" name="IMAGE PRODUCT" dataDxfId="153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D2FA2E-0933-4796-BA9B-C86666372FE4}" name="TabSpecificationWork_2" displayName="TabSpecificationWork_2" ref="F1:R12" headerRowDxfId="152" dataDxfId="151">
  <autoFilter ref="F1:R12" xr:uid="{39D2FA2E-0933-4796-BA9B-C86666372FE4}"/>
  <tableColumns count="13">
    <tableColumn id="1" xr3:uid="{2D35AB6D-689E-4581-BFB5-254603E305B8}" name="HASH COLLECTION" totalsRowLabel="Итог" dataDxfId="150" totalsRowDxfId="149">
      <calculatedColumnFormula>E2</calculatedColumnFormula>
    </tableColumn>
    <tableColumn id="2" xr3:uid="{1FF74755-B711-4353-9FE3-236304C8C10A}" name="COEFFICIENT MARKUP" dataDxfId="148"/>
    <tableColumn id="3" xr3:uid="{C9DF27EE-C3F5-48EA-8A9F-08703557C240}" name="PRICE UNIT $SALE" dataDxfId="147">
      <calculatedColumnFormula>TabSpecificationWork_2[[#This Row],[COEFFICIENT MARKUP]]*TabSpecificationWork_1[[#This Row],[PRICE UNIT $PURCHASE]]</calculatedColumnFormula>
    </tableColumn>
    <tableColumn id="4" xr3:uid="{13E50560-E3A1-4918-9A72-E170AD0ED179}" name="COST DEAL $SALE" dataDxfId="146">
      <calculatedColumnFormula>TabSpecificationWork_1[[#This Row],[QUANTITY TOTAL]]*TabSpecificationWork_2[[#This Row],[PRICE UNIT $SALE]]</calculatedColumnFormula>
    </tableColumn>
    <tableColumn id="5" xr3:uid="{2ADC428A-1173-4D5A-9D2F-6AB8F3260492}" name="DISCOUNT PERCENT" dataDxfId="145"/>
    <tableColumn id="6" xr3:uid="{55B81372-0275-4435-8DD1-08DE134AE7CF}" name="DISCOUNT MONEY" dataDxfId="144" dataCellStyle="Финансовый">
      <calculatedColumnFormula>(TabSpecificationWork_2[[#This Row],[COST DEAL $SALE]]/100)*TabSpecificationWork_2[[#This Row],[DISCOUNT PERCENT]]</calculatedColumnFormula>
    </tableColumn>
    <tableColumn id="7" xr3:uid="{97734D3E-F1D4-4553-83AC-2FD721115591}" name="FORMULA SPECIFIC COST" dataDxfId="143"/>
    <tableColumn id="8" xr3:uid="{7F91BE1C-6777-472B-9705-6FEAA341F9E4}" name="PRICE UNIT $TOTAL" dataDxfId="142">
      <calculatedColumnFormula>TabSpecificationWork_2[[#This Row],[PRICE UNIT $SALE]]</calculatedColumnFormula>
    </tableColumn>
    <tableColumn id="9" xr3:uid="{F2DD7380-C2AA-4B5D-9F95-BF99066D156C}" name="COST $TOTAL" totalsRowFunction="sum" dataDxfId="141" totalsRowDxfId="140">
      <calculatedColumnFormula>TabSpecificationWork_2[[#This Row],[COST DEAL $SALE]]-TabSpecificationWork_2[[#This Row],[DISCOUNT MONEY]]</calculatedColumnFormula>
    </tableColumn>
    <tableColumn id="10" xr3:uid="{6B388F0D-214D-47C1-9BDE-C5B75AE170F9}" name="DURATION SALE $TOTAL" dataDxfId="139"/>
    <tableColumn id="11" xr3:uid="{F0C19BA4-14CD-46D7-9589-E18338973F4F}" name="isSUPPLIED" dataDxfId="138"/>
    <tableColumn id="12" xr3:uid="{0A11BEAE-757A-4C41-869F-EC42034A4E09}" name="isPROCESSING" dataDxfId="137"/>
    <tableColumn id="13" xr3:uid="{BB13BB81-0814-4356-8E31-92626816A46D}" name="COMMENT CUSTOMER" dataDxfId="136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433A3F-ADAB-41AD-A83C-B8719B434348}" name="TabHandbookProject" displayName="TabHandbookProject" ref="A1:B119" tableType="queryTable" totalsRowShown="0" headerRowDxfId="102">
  <autoFilter ref="A1:B119" xr:uid="{3A433A3F-ADAB-41AD-A83C-B8719B434348}"/>
  <tableColumns count="2">
    <tableColumn id="1" xr3:uid="{C487BB0B-A74A-4616-AA9E-407431A85BFC}" uniqueName="1" name="IDnum" queryTableFieldId="1" dataDxfId="101"/>
    <tableColumn id="2" xr3:uid="{168C039B-A25B-49BE-91E6-DAEAAADDE735}" uniqueName="2" name="IDprojectfull" queryTableFieldId="2" dataDxfId="100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87490-69AA-4135-92BA-FDCE6065A4CB}" name="TabVendorAndBrand" displayName="TabVendorAndBrand" ref="A1:B88" tableType="queryTable" totalsRowShown="0" headerRowDxfId="99">
  <autoFilter ref="A1:B88" xr:uid="{4E887490-69AA-4135-92BA-FDCE6065A4CB}"/>
  <tableColumns count="2">
    <tableColumn id="1" xr3:uid="{0DBAC820-4087-47C0-959D-632D92880DC9}" uniqueName="1" name="IDvendor" queryTableFieldId="1" dataDxfId="98"/>
    <tableColumn id="2" xr3:uid="{ACA97C16-8ED5-48D0-9EFD-86BF94F0564C}" uniqueName="2" name="BRAND" queryTableFieldId="2" dataDxfId="97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D7691-FE5D-4204-AC5B-CA00F9A9E0CA}" name="TabHandbookSupplier" displayName="TabHandbookSupplier" ref="A1:B48" tableType="queryTable" totalsRowShown="0" headerRowDxfId="96">
  <autoFilter ref="A1:B48" xr:uid="{968D7691-FE5D-4204-AC5B-CA00F9A9E0CA}"/>
  <tableColumns count="2">
    <tableColumn id="1" xr3:uid="{2D9F11F8-FFAE-4157-A076-BC36BB0461A3}" uniqueName="1" name="IDsupplier" queryTableFieldId="3" dataDxfId="95"/>
    <tableColumn id="2" xr3:uid="{EBE9B7B3-3339-42ED-8C41-106A413D6B38}" uniqueName="2" name="COMPANY_LABEL" queryTableFieldId="2" dataDxfId="94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C369D-4EF9-4630-BBCA-A757CC89C26E}" name="TabHandbookUnit" displayName="TabHandbookUnit" ref="A1:B5" tableType="queryTable" totalsRowShown="0" headerRowDxfId="93">
  <autoFilter ref="A1:B5" xr:uid="{650C369D-4EF9-4630-BBCA-A757CC89C26E}"/>
  <tableColumns count="2">
    <tableColumn id="1" xr3:uid="{10BDB9F9-CCA3-439E-BF2C-EC6B9B458BCC}" uniqueName="1" name="IDnum" queryTableFieldId="1"/>
    <tableColumn id="2" xr3:uid="{0D5BE12D-F314-42B9-A7B7-69139DB2E84E}" uniqueName="2" name="UNITS" queryTableFieldId="2" dataDxfId="92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9773E5-6BB4-4A7F-A27E-2BF5D48F2E04}" name="TabTableSchema" displayName="TabTableSchema" ref="A1:Q42" headerRowDxfId="91" dataDxfId="90" tableBorderDxfId="89">
  <autoFilter ref="A1:Q42" xr:uid="{759773E5-6BB4-4A7F-A27E-2BF5D48F2E04}">
    <filterColumn colId="0">
      <filters>
        <filter val="TabSpecificationWork_1"/>
      </filters>
    </filterColumn>
  </autoFilter>
  <tableColumns count="17">
    <tableColumn id="1" xr3:uid="{E6BB4E5D-0C94-42D4-8C3E-4A911A823492}" name="TABLE NAME" totalsRowLabel="Итог" dataDxfId="88" totalsRowDxfId="87"/>
    <tableColumn id="9" xr3:uid="{8E76A267-9A59-489D-8043-2804945CE301}" name="NUM COLUMN" totalsRowFunction="count" dataDxfId="86" totalsRowDxfId="85"/>
    <tableColumn id="2" xr3:uid="{BEB7F216-285D-4701-BA72-477EC26D3B62}" name="СOLUMNS NAME" dataDxfId="84" totalsRowDxfId="83"/>
    <tableColumn id="4" xr3:uid="{A7B1D50C-5D59-4B32-A7C3-9AA74B7404D4}" name="COLUMN NAME RUS" dataDxfId="82" totalsRowDxfId="81"/>
    <tableColumn id="6" xr3:uid="{1416325B-2E3B-4C34-BB33-AAB8A31EF82D}" name="TYPE DATASET" dataDxfId="80" totalsRowDxfId="79"/>
    <tableColumn id="5" xr3:uid="{CA8100E0-9D72-4767-B0B8-4AD4DE71B1E3}" name="RANGE VALUES" dataDxfId="78" totalsRowDxfId="77"/>
    <tableColumn id="13" xr3:uid="{3A92C78A-FF7E-4E7E-8419-C0B9B7A58E47}" name="UNIQUE FLAG" dataDxfId="76" totalsRowDxfId="75"/>
    <tableColumn id="8" xr3:uid="{2396727F-9D04-4743-BB44-C8C0E33C757B}" name="NULL VALUE" dataDxfId="74" totalsRowDxfId="73"/>
    <tableColumn id="12" xr3:uid="{C4725C6D-3039-490B-BB41-A5171ECFACD8}" name="isAUTOMATIC" dataDxfId="72" totalsRowDxfId="71"/>
    <tableColumn id="7" xr3:uid="{40580CDE-6E19-4C7A-9755-F526449CFCB9}" name="MODIFY FLAG" dataDxfId="70" totalsRowDxfId="69"/>
    <tableColumn id="10" xr3:uid="{CB15A236-A81C-4BD2-9F8C-B1E9D304D57D}" name="HANDBOOK SOURCE" dataDxfId="68" totalsRowDxfId="67"/>
    <tableColumn id="15" xr3:uid="{FEB2FEB8-B9A8-4D97-89C7-C11A7ECC74BF}" name="DROPDOWN LIST" dataDxfId="66" totalsRowDxfId="65"/>
    <tableColumn id="14" xr3:uid="{39517DFD-8E84-4512-AD3B-8EEF3F2A14BD}" name="EXCEL TYPE" dataDxfId="64" totalsRowDxfId="63"/>
    <tableColumn id="16" xr3:uid="{4AF43F77-9EB9-4FE8-A6CD-1C506E0C165A}" name="VERTICAL ALIGNMENT" totalsRowFunction="count" dataDxfId="62" totalsRowDxfId="61"/>
    <tableColumn id="17" xr3:uid="{F3337072-6BBA-4D07-99C5-D8BE0F50993F}" name="HORIZONTAL ALIGNMENT" dataDxfId="60" totalsRowDxfId="59"/>
    <tableColumn id="18" xr3:uid="{D292290F-9084-4A4E-B39B-7270E72B4D63}" name="TRANSFER TEXT" dataDxfId="58" totalsRowDxfId="57"/>
    <tableColumn id="3" xr3:uid="{99264B45-CF4D-4029-A10F-DE7DEC72AEAA}" name="COMMENT" totalsRowFunction="count" dataDxfId="56" totalsRowDxfId="55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A7DFF-0CC5-4C4C-9A2B-B1F378111DBF}" name="TabConfigJSON" displayName="TabConfigJSON" ref="A1:D2" totalsRowShown="0" headerRowDxfId="54">
  <autoFilter ref="A1:D2" xr:uid="{F15A7DFF-0CC5-4C4C-9A2B-B1F378111DBF}"/>
  <tableColumns count="4">
    <tableColumn id="1" xr3:uid="{EADDD526-A1BB-49E7-8C12-FF9F560ED170}" name="IDnum" dataDxfId="53"/>
    <tableColumn id="4" xr3:uid="{98DCC295-85E8-47DA-AFBD-C60F8D2289C3}" name="IDconfig" dataDxfId="52"/>
    <tableColumn id="2" xr3:uid="{DA12A670-2981-4AD6-9AD6-55CE1D69B953}" name="CONFIG_JSON" dataDxfId="51"/>
    <tableColumn id="3" xr3:uid="{A974DE38-498A-4F17-8A6B-82651D251480}" name="COMMENT" dataDxfId="5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10T06:18:57.01" personId="{546BDB3A-668A-4D8C-87A8-0DE14755FBE5}" id="{F6344F8B-2B3A-40F5-94E4-16B7A498AB48}">
    <text>Уникальный порядковый номер позиции</text>
  </threadedComment>
  <threadedComment ref="B1" dT="2025-09-10T06:19:15.78" personId="{546BDB3A-668A-4D8C-87A8-0DE14755FBE5}" id="{E3D9B2AC-BF73-467B-B4DB-9A01321331B9}">
    <text>Порядковый номер позиции из спецификации заказчика</text>
  </threadedComment>
  <threadedComment ref="C1" dT="2025-09-10T06:19:43.07" personId="{546BDB3A-668A-4D8C-87A8-0DE14755FBE5}" id="{8F981E2E-A069-4F7D-B569-584150EAACC6}">
    <text>Полный номер проекта из таблицы реестр проектов</text>
  </threadedComment>
  <threadedComment ref="D1" dT="2025-09-10T06:19:57.74" personId="{546BDB3A-668A-4D8C-87A8-0DE14755FBE5}" id="{7960CCAA-C85E-4532-A46A-96785E4D240A}">
    <text>ВЫЧИСЛЯЕМЫЙ СТОЛБЕЦ, РУКАМИ НЕ ЗАПОЛНЯТЬ ! Номер заказа в рамках проекта из списка заказов</text>
  </threadedComment>
  <threadedComment ref="E1" dT="2025-09-10T06:20:21.43" personId="{546BDB3A-668A-4D8C-87A8-0DE14755FBE5}" id="{FE809EA2-7E50-4AEF-ADD4-15BD881CFCA5}">
    <text>Версия коллекции - число. Под КОЛЛЕКЦИЕЙ понимается объект данных который описывает стока, она же одна запись датасета</text>
  </threadedComment>
  <threadedComment ref="F1" dT="2025-09-10T06:22:14.10" personId="{546BDB3A-668A-4D8C-87A8-0DE14755FBE5}" id="{FE5A4F88-C626-4813-B9F6-AC623AC19292}">
    <text>Название комплекта</text>
  </threadedComment>
  <threadedComment ref="G1" dT="2025-09-10T06:20:38.79" personId="{546BDB3A-668A-4D8C-87A8-0DE14755FBE5}" id="{5D52B54C-0708-4CA1-A0BC-47334CF09CE6}">
    <text xml:space="preserve">Свободный (число или текст - латиницей) идентификатор комплекта
</text>
  </threadedComment>
  <threadedComment ref="H1" dT="2025-09-10T06:21:08.34" personId="{546BDB3A-668A-4D8C-87A8-0DE14755FBE5}" id="{70842CBF-5120-4049-9941-DC7047DC8A17}">
    <text>Порядковый номер позиции в комплекте</text>
  </threadedComment>
  <threadedComment ref="I1" dT="2025-09-10T06:21:57.11" personId="{546BDB3A-668A-4D8C-87A8-0DE14755FBE5}" id="{F4A88E00-01BF-4A9D-BB00-CA966B2636D4}">
    <text>Автоматически заполняемый столбец.
Полный порядковый номер позиции, состоящий из номер комплекта и номера порядкового в комплекте</text>
  </threadedComment>
  <threadedComment ref="J1" dT="2025-10-15T06:44:08.57" personId="{546BDB3A-668A-4D8C-87A8-0DE14755FBE5}" id="{890F2321-773B-4860-984E-8BC625841E0A}">
    <text>Признак поставки позиции в данном заказе</text>
  </threadedComment>
  <threadedComment ref="K1" dT="2025-09-10T06:22:32.64" personId="{546BDB3A-668A-4D8C-87A8-0DE14755FBE5}" id="{2C22FD44-0F6F-4613-A453-FA7B515CF251}">
    <text>Автоматически заполняемый столбец.
Уникальное хэш значение, характеризуемое текущую коллекцию</text>
  </threadedComment>
  <threadedComment ref="L1" dT="2025-09-10T06:22:51.38" personId="{546BDB3A-668A-4D8C-87A8-0DE14755FBE5}" id="{BE27801C-0731-473F-8682-66560F0BB1E4}">
    <text>Наименование позиции</text>
  </threadedComment>
  <threadedComment ref="M1" dT="2025-09-10T06:23:14.32" personId="{546BDB3A-668A-4D8C-87A8-0DE14755FBE5}" id="{BF2CA57A-7DA7-402D-98F7-C3C603B6B406}">
    <text>Технические характеристики позиции</text>
  </threadedComment>
  <threadedComment ref="N1" dT="2025-09-10T06:24:28.46" personId="{546BDB3A-668A-4D8C-87A8-0DE14755FBE5}" id="{04599C53-D9FA-49F2-923B-EDB75AD601A2}">
    <text>Название бренда производителя</text>
  </threadedComment>
  <threadedComment ref="O1" dT="2025-09-10T06:24:46.85" personId="{546BDB3A-668A-4D8C-87A8-0DE14755FBE5}" id="{6F577B15-DEC3-4280-BB97-E6CA976D117B}">
    <text>Название поставщика</text>
  </threadedComment>
  <threadedComment ref="P1" dT="2025-09-10T06:26:07.88" personId="{546BDB3A-668A-4D8C-87A8-0DE14755FBE5}" id="{558DC68A-31E6-40BF-8F27-3467FE25D98D}">
    <text>Артикул поставщика</text>
  </threadedComment>
  <threadedComment ref="Q1" dT="2025-09-10T06:26:45.10" personId="{546BDB3A-668A-4D8C-87A8-0DE14755FBE5}" id="{397FFE0C-F713-4E2F-B787-8428280F9203}">
    <text>Артикул МАС/Горизонт</text>
  </threadedComment>
  <threadedComment ref="R1" dT="2025-09-10T06:28:10.67" personId="{546BDB3A-668A-4D8C-87A8-0DE14755FBE5}" id="{635CA893-B3CA-47BA-8F79-B4074D2943AC}">
    <text>Единицы измерения из справочника</text>
  </threadedComment>
  <threadedComment ref="S1" dT="2025-09-10T06:28:26.65" personId="{546BDB3A-668A-4D8C-87A8-0DE14755FBE5}" id="{8620B4C4-3914-40DF-A218-4F9092ACBCCC}">
    <text>Количество единиц данной позиции в комплекте</text>
  </threadedComment>
  <threadedComment ref="T1" dT="2025-09-10T06:28:45.20" personId="{546BDB3A-668A-4D8C-87A8-0DE14755FBE5}" id="{0B7C2C1D-3BA7-464A-8F40-BB11C8377876}">
    <text>Количество комплектов в поставке</text>
  </threadedComment>
  <threadedComment ref="U1" dT="2025-09-10T06:28:59.02" personId="{546BDB3A-668A-4D8C-87A8-0DE14755FBE5}" id="{A6B4B6DF-DD2A-463F-A7C3-7F87B17D3385}">
    <text>Автоматически заполняемый столбец.
Итоговое количество по данной позиции в поставке</text>
  </threadedComment>
  <threadedComment ref="V1" dT="2025-09-10T06:29:14.46" personId="{546BDB3A-668A-4D8C-87A8-0DE14755FBE5}" id="{2815824D-89DB-4994-9B34-7D12489A7D8C}">
    <text>Количество в наличии у поставщика</text>
  </threadedComment>
  <threadedComment ref="W1" dT="2025-09-10T06:29:28.82" personId="{546BDB3A-668A-4D8C-87A8-0DE14755FBE5}" id="{BC32CEEA-6CCC-42A0-9D55-CD12DF19372E}">
    <text>Цена за единицу - закупка</text>
  </threadedComment>
  <threadedComment ref="X1" dT="2025-09-10T06:29:42.04" personId="{546BDB3A-668A-4D8C-87A8-0DE14755FBE5}" id="{1A2ACEFF-E713-463A-9D5B-54184A4CD29D}">
    <text>Автоматически заполняемый столбец.
Стоимость - закупка</text>
  </threadedComment>
  <threadedComment ref="Y1" dT="2025-09-10T06:34:12.78" personId="{546BDB3A-668A-4D8C-87A8-0DE14755FBE5}" id="{6339678F-4C5D-4328-BE94-531FC243752F}">
    <text>Идентификатор спецификации поставщика/дистрибьютера, на основе которой сформирована цена позиции. Из справочника ТКП поставщиков</text>
  </threadedComment>
  <threadedComment ref="Z1" dT="2025-09-10T06:30:32.88" personId="{546BDB3A-668A-4D8C-87A8-0DE14755FBE5}" id="{9A7C07C3-6A21-4EE8-BEF0-B48F9D85045A}">
    <text>Комментарии внутренний - ТОЛЬКО ДЛЯ ВНУТРЕННЕГО СЛУЖЕБНОГО ПОЛЬЗОВАНИЯ. Полезная, дополнительная информация по позиции в свободной форме</text>
  </threadedComment>
  <threadedComment ref="AA1" dT="2025-09-10T06:41:33.25" personId="{546BDB3A-668A-4D8C-87A8-0DE14755FBE5}" id="{CEE886A3-6613-4B66-8B1E-E7BC6BC9CB33}">
    <text>Прямая ссылка на позицию на сайте поставщика</text>
  </threadedComment>
  <threadedComment ref="AB1" dT="2025-09-10T06:42:06.36" personId="{546BDB3A-668A-4D8C-87A8-0DE14755FBE5}" id="{FC3D7DDB-A80F-4FFB-9267-3E86088C3010}">
    <text>Прямая ссылка на позицию на сайте производителя/поставщика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9-10T06:42:58.12" personId="{546BDB3A-668A-4D8C-87A8-0DE14755FBE5}" id="{309647A7-39FA-4D1C-9D34-F6589AA872B5}">
    <text>Автоматически заполняемый столбец.
Уникальное хэш значение, характеризуемое текущую коллекцию</text>
  </threadedComment>
  <threadedComment ref="G1" dT="2025-09-10T06:44:14.93" personId="{546BDB3A-668A-4D8C-87A8-0DE14755FBE5}" id="{CF0B5015-4158-4820-9F26-C26499DBA742}">
    <text>Коэффициент наценки</text>
  </threadedComment>
  <threadedComment ref="H1" dT="2025-09-10T06:45:02.12" personId="{546BDB3A-668A-4D8C-87A8-0DE14755FBE5}" id="{21F0EC38-F450-4B3D-9F20-24E0A5086D76}">
    <text>Цена за единицу - реализация
Автоматически заполняемый столбец</text>
  </threadedComment>
  <threadedComment ref="I1" dT="2025-09-10T06:48:58.47" personId="{546BDB3A-668A-4D8C-87A8-0DE14755FBE5}" id="{80AA62D7-622C-4FD5-BD05-73196064F988}">
    <text>Стоимость - реализация
Автоматически заполняемый столбец.</text>
  </threadedComment>
  <threadedComment ref="J1" dT="2025-09-10T06:46:39.88" personId="{546BDB3A-668A-4D8C-87A8-0DE14755FBE5}" id="{FD29CBDA-5DC6-4B24-8102-5F8F7BB14035}">
    <text>Скидка в процентах</text>
  </threadedComment>
  <threadedComment ref="K1" dT="2025-09-10T06:48:05.37" personId="{546BDB3A-668A-4D8C-87A8-0DE14755FBE5}" id="{63A27906-F095-41CD-A95D-65E7066FF0CA}">
    <text>Скидка в процентах
Автоматически заполняемый столбец.</text>
  </threadedComment>
  <threadedComment ref="L1" dT="2025-09-10T06:50:36.58" personId="{546BDB3A-668A-4D8C-87A8-0DE14755FBE5}" id="{1C6B5050-6CB5-4334-B0BF-D352BE35FCDD}">
    <text>Колонка зарезервирована для будущих изменений в методиках рассчета цены/стоимости</text>
  </threadedComment>
  <threadedComment ref="M1" dT="2025-09-10T06:51:06.38" personId="{546BDB3A-668A-4D8C-87A8-0DE14755FBE5}" id="{9096AD6D-0080-4F91-9D46-8ADB24D70A9C}">
    <text>Итоговая цена по позиции - реализация
Автоматически заполняемый столбец</text>
  </threadedComment>
  <threadedComment ref="N1" dT="2025-09-10T06:51:25.57" personId="{546BDB3A-668A-4D8C-87A8-0DE14755FBE5}" id="{A186831B-F51A-48CE-8D1F-DD0498716A32}">
    <text xml:space="preserve">Итоговая стоимость по позиции - реализация
Автоматически заполняемый столбец
</text>
  </threadedComment>
  <threadedComment ref="O1" dT="2025-09-10T06:52:30.62" personId="{546BDB3A-668A-4D8C-87A8-0DE14755FBE5}" id="{9B32C0B5-C05B-484C-A693-11A0F23F77D8}">
    <text>Длительность в календарных днях реализации товара или услуги</text>
  </threadedComment>
  <threadedComment ref="P1" dT="2025-09-10T06:53:01.23" personId="{546BDB3A-668A-4D8C-87A8-0DE14755FBE5}" id="{B42D3B41-058E-4983-94A4-8C60C7C63672}">
    <text>Признак закупки позиции в данном заказе</text>
  </threadedComment>
  <threadedComment ref="Q1" dT="2025-09-10T06:53:17.00" personId="{546BDB3A-668A-4D8C-87A8-0DE14755FBE5}" id="{56C833C4-D222-48BD-9788-D14B6BE0D29E}">
    <text xml:space="preserve">Признак  пост-модификации коммерческих данных данной коллекции </text>
  </threadedComment>
  <threadedComment ref="R1" dT="2025-09-10T06:54:08.95" personId="{546BDB3A-668A-4D8C-87A8-0DE14755FBE5}" id="{F8030F50-FD87-4745-A651-025560126A86}">
    <text>Комментарии, открытый - для заказчика, полезная информация по позиции в свободной форме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08-26T18:36:16.30" personId="{546BDB3A-668A-4D8C-87A8-0DE14755FBE5}" id="{467C0B6F-9F95-4DB0-BF80-F675DE91455F}">
    <text>Рабочее наименование столбца</text>
  </threadedComment>
  <threadedComment ref="D1" dT="2025-08-26T18:39:10.84" personId="{546BDB3A-668A-4D8C-87A8-0DE14755FBE5}" id="{4CFBF6B6-7EFD-4069-8DE5-8B3A382DE8B5}">
    <text>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ext>
  </threadedComment>
  <threadedComment ref="E1" dT="2025-08-26T18:40:10.72" personId="{546BDB3A-668A-4D8C-87A8-0DE14755FBE5}" id="{F53B5208-810B-4812-85B6-273910B12FA2}">
    <text>Тип данных столбца, который необходимо задать вконфигурации JSON. Данный параметр отработает при валидации таблицы</text>
  </threadedComment>
  <threadedComment ref="F1" dT="2025-08-26T14:23:18.65" personId="{546BDB3A-668A-4D8C-87A8-0DE14755FBE5}" id="{402736B6-8AA9-44F1-87AF-DCFCB998D9A2}">
    <text xml:space="preserve">Диапазон допустимых значений
</text>
  </threadedComment>
  <threadedComment ref="G1" dT="2025-08-26T18:35:52.66" personId="{546BDB3A-668A-4D8C-87A8-0DE14755FBE5}" id="{73665B3F-01E8-4647-B7CF-D2ADCE5DFF7A}">
    <text>Признак того что столбец должен хранить только уникальные значения</text>
  </threadedComment>
  <threadedComment ref="H1" dT="2025-08-26T13:33:29.24" personId="{546BDB3A-668A-4D8C-87A8-0DE14755FBE5}" id="{BF2E705E-F92F-4135-963A-1D08D1A86B10}">
    <text>Признак допустимости ‘null’ (т.е. пустых) значения в данном столбце</text>
  </threadedComment>
  <threadedComment ref="I1" dT="2025-09-11T18:35:40.60" personId="{546BDB3A-668A-4D8C-87A8-0DE14755FBE5}" id="{BA3FC78D-DF56-4299-98BA-EF543AEDDE96}">
    <text>Автоматически заполняемый столбец. Пользователь не должен руками вносить значения</text>
  </threadedComment>
  <threadedComment ref="J1" dT="2025-08-26T18:51:01.94" personId="{546BDB3A-668A-4D8C-87A8-0DE14755FBE5}" id="{C4590EF0-B4FA-4AF9-B9E3-97C4D5D4FB74}">
    <text>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ext>
  </threadedComment>
  <threadedComment ref="K1" dT="2025-08-26T18:55:29.91" personId="{546BDB3A-668A-4D8C-87A8-0DE14755FBE5}" id="{1B29FCF3-2C93-496F-9F2F-E1BE3F0529EE}">
    <text>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ext>
  </threadedComment>
  <threadedComment ref="M1" dT="2025-08-30T19:10:47.02" personId="{546BDB3A-668A-4D8C-87A8-0DE14755FBE5}" id="{38ECDC56-C1B3-4279-9135-C2F194AF05C2}">
    <text xml:space="preserve">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ext>
  </threadedComment>
  <threadedComment ref="P1" dT="2025-10-14T16:26:08.02" personId="{546BDB3A-668A-4D8C-87A8-0DE14755FBE5}" id="{0E01910B-EABC-47EE-A6F2-36B241839F32}">
    <text>Включить перенос текста</text>
  </threadedComment>
  <threadedComment ref="Q1" dT="2025-08-26T21:21:32.93" personId="{546BDB3A-668A-4D8C-87A8-0DE14755FBE5}" id="{2542A1D5-C697-4EB9-ADE5-2F46F073681A}">
    <text xml:space="preserve">Комментарий поясняющий смысл хранимых в столбце данных, также ряд ограничений связанных с ним и ряд другой информации.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677E766F-DCD2-40C5-BCF6-694B76559E7B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9097B5E4-5BB8-495D-920F-57E4FE5CA3D9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EAFE6082-86D5-4614-8F32-BA64CCE0A820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324BD8BD-4E4A-4D8A-8018-FCE55CC73CF0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2138-C99F-4E5C-BA1C-A2F685F03BF8}">
  <dimension ref="A1:AB12"/>
  <sheetViews>
    <sheetView topLeftCell="E1" zoomScale="85" zoomScaleNormal="85" workbookViewId="0">
      <pane ySplit="1" topLeftCell="A2" activePane="bottomLeft" state="frozen"/>
      <selection pane="bottomLeft" activeCell="X4" sqref="X4"/>
    </sheetView>
  </sheetViews>
  <sheetFormatPr defaultRowHeight="14.4" outlineLevelCol="2" x14ac:dyDescent="0.3"/>
  <cols>
    <col min="1" max="1" width="7.5546875" customWidth="1" outlineLevel="2"/>
    <col min="2" max="2" width="9" customWidth="1" outlineLevel="2"/>
    <col min="3" max="3" width="21.6640625" customWidth="1" outlineLevel="2"/>
    <col min="4" max="4" width="9.44140625" customWidth="1" outlineLevel="2"/>
    <col min="5" max="5" width="13.33203125" customWidth="1" outlineLevel="2"/>
    <col min="6" max="6" width="23.33203125" customWidth="1" outlineLevel="1"/>
    <col min="7" max="7" width="7.5546875" customWidth="1" outlineLevel="1"/>
    <col min="8" max="8" width="11.33203125" customWidth="1" outlineLevel="1"/>
    <col min="9" max="9" width="10.6640625" customWidth="1"/>
    <col min="10" max="10" width="12.6640625" customWidth="1"/>
    <col min="11" max="11" width="39.33203125" customWidth="1"/>
    <col min="12" max="12" width="28.6640625" customWidth="1"/>
    <col min="13" max="13" width="54.44140625" customWidth="1"/>
    <col min="14" max="15" width="18.6640625" customWidth="1" outlineLevel="1"/>
    <col min="16" max="17" width="20.6640625" customWidth="1" outlineLevel="1"/>
    <col min="18" max="18" width="9" customWidth="1"/>
    <col min="19" max="19" width="10.6640625" customWidth="1"/>
    <col min="20" max="20" width="11.6640625" customWidth="1"/>
    <col min="21" max="21" width="12.33203125" customWidth="1"/>
    <col min="22" max="22" width="12.5546875" customWidth="1"/>
    <col min="23" max="23" width="14.6640625" customWidth="1"/>
    <col min="24" max="24" width="15.109375" customWidth="1"/>
    <col min="25" max="25" width="16.6640625" customWidth="1"/>
    <col min="26" max="26" width="41.33203125" customWidth="1"/>
    <col min="27" max="27" width="28.109375" customWidth="1"/>
    <col min="28" max="28" width="30.33203125" customWidth="1"/>
  </cols>
  <sheetData>
    <row r="1" spans="1:28" ht="56.4" customHeight="1" x14ac:dyDescent="0.3">
      <c r="A1" s="4" t="s">
        <v>3</v>
      </c>
      <c r="B1" s="4" t="s">
        <v>55</v>
      </c>
      <c r="C1" s="4" t="s">
        <v>232</v>
      </c>
      <c r="D1" s="13" t="s">
        <v>393</v>
      </c>
      <c r="E1" s="4" t="s">
        <v>233</v>
      </c>
      <c r="F1" s="4" t="s">
        <v>236</v>
      </c>
      <c r="G1" s="4" t="s">
        <v>223</v>
      </c>
      <c r="H1" s="4" t="s">
        <v>234</v>
      </c>
      <c r="I1" s="4" t="s">
        <v>235</v>
      </c>
      <c r="J1" s="4" t="s">
        <v>496</v>
      </c>
      <c r="K1" s="4" t="s">
        <v>237</v>
      </c>
      <c r="L1" s="4" t="s">
        <v>238</v>
      </c>
      <c r="M1" s="4" t="s">
        <v>239</v>
      </c>
      <c r="N1" s="4" t="s">
        <v>27</v>
      </c>
      <c r="O1" s="4" t="s">
        <v>28</v>
      </c>
      <c r="P1" s="4" t="s">
        <v>240</v>
      </c>
      <c r="Q1" s="4" t="s">
        <v>241</v>
      </c>
      <c r="R1" s="4" t="s">
        <v>29</v>
      </c>
      <c r="S1" s="4" t="s">
        <v>242</v>
      </c>
      <c r="T1" s="4" t="s">
        <v>243</v>
      </c>
      <c r="U1" s="4" t="s">
        <v>244</v>
      </c>
      <c r="V1" s="4" t="s">
        <v>245</v>
      </c>
      <c r="W1" s="4" t="s">
        <v>246</v>
      </c>
      <c r="X1" s="4" t="s">
        <v>247</v>
      </c>
      <c r="Y1" s="4" t="s">
        <v>283</v>
      </c>
      <c r="Z1" s="4" t="s">
        <v>231</v>
      </c>
      <c r="AA1" s="4" t="s">
        <v>248</v>
      </c>
      <c r="AB1" s="4" t="s">
        <v>249</v>
      </c>
    </row>
    <row r="2" spans="1:28" ht="273.60000000000002" x14ac:dyDescent="0.3">
      <c r="A2" s="27">
        <v>1</v>
      </c>
      <c r="B2" s="27">
        <v>0</v>
      </c>
      <c r="C2" s="28" t="s">
        <v>415</v>
      </c>
      <c r="D2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2" s="27">
        <v>3</v>
      </c>
      <c r="F2" s="29" t="s">
        <v>431</v>
      </c>
      <c r="G2" s="27">
        <v>3</v>
      </c>
      <c r="H2" s="27">
        <v>4</v>
      </c>
      <c r="I2" s="30" t="str">
        <f>CONCATENATE(TabSpecificationWork_1[[#This Row],[IDset]],".",TabSpecificationWork_1[[#This Row],[NUM SEQUENCE SET]])</f>
        <v>3.4</v>
      </c>
      <c r="J2" s="31" t="s">
        <v>34</v>
      </c>
      <c r="K2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1/2024-n4-горизонт-ver_3-set_3.4-true</v>
      </c>
      <c r="L2" s="32" t="s">
        <v>432</v>
      </c>
      <c r="M2" s="29" t="s">
        <v>433</v>
      </c>
      <c r="N2" s="39" t="s">
        <v>161</v>
      </c>
      <c r="O2" s="39" t="s">
        <v>107</v>
      </c>
      <c r="P2" s="39" t="s">
        <v>455</v>
      </c>
      <c r="Q2" s="39"/>
      <c r="R2" s="39" t="s">
        <v>121</v>
      </c>
      <c r="S2" s="40">
        <v>1</v>
      </c>
      <c r="T2" s="40">
        <v>1</v>
      </c>
      <c r="U2" s="27">
        <f>TabSpecificationWork_1[[#This Row],[QUANTITY SET]]*TabSpecificationWork_1[[#This Row],[QUANTITY SHIPPED SET]]</f>
        <v>1</v>
      </c>
      <c r="V2" s="40">
        <v>5</v>
      </c>
      <c r="W2" s="41">
        <v>16000</v>
      </c>
      <c r="X2" s="41">
        <f>TabSpecificationWork_1[[#This Row],[QUANTITY TOTAL]]*TabSpecificationWork_1[[#This Row],[PRICE UNIT $PURCHASE]]</f>
        <v>16000</v>
      </c>
      <c r="Y2" s="43"/>
      <c r="Z2" s="44" t="s">
        <v>484</v>
      </c>
      <c r="AA2" s="44" t="s">
        <v>456</v>
      </c>
      <c r="AB2" s="44"/>
    </row>
    <row r="3" spans="1:28" ht="216" x14ac:dyDescent="0.3">
      <c r="A3" s="27">
        <v>2</v>
      </c>
      <c r="B3" s="27">
        <v>0</v>
      </c>
      <c r="C3" s="28" t="s">
        <v>415</v>
      </c>
      <c r="D3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3" s="27">
        <v>3</v>
      </c>
      <c r="F3" s="29" t="s">
        <v>490</v>
      </c>
      <c r="G3" s="27">
        <v>5</v>
      </c>
      <c r="H3" s="27">
        <v>5</v>
      </c>
      <c r="I3" s="30" t="str">
        <f>CONCATENATE(TabSpecificationWork_1[[#This Row],[IDset]],".",TabSpecificationWork_1[[#This Row],[NUM SEQUENCE SET]])</f>
        <v>5.5</v>
      </c>
      <c r="J3" s="31" t="s">
        <v>33</v>
      </c>
      <c r="K3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1/2024-n4-горизонт-ver_3-set_5.5-false</v>
      </c>
      <c r="L3" s="32" t="s">
        <v>434</v>
      </c>
      <c r="M3" s="29" t="s">
        <v>435</v>
      </c>
      <c r="N3" s="33" t="s">
        <v>196</v>
      </c>
      <c r="O3" s="33" t="s">
        <v>120</v>
      </c>
      <c r="P3" s="33" t="s">
        <v>457</v>
      </c>
      <c r="Q3" s="33"/>
      <c r="R3" s="33" t="s">
        <v>121</v>
      </c>
      <c r="S3" s="27">
        <v>8</v>
      </c>
      <c r="T3" s="27">
        <v>1</v>
      </c>
      <c r="U3" s="27">
        <f>TabSpecificationWork_1[[#This Row],[QUANTITY SET]]*TabSpecificationWork_1[[#This Row],[QUANTITY SHIPPED SET]]</f>
        <v>8</v>
      </c>
      <c r="V3" s="27">
        <v>8</v>
      </c>
      <c r="W3" s="41">
        <v>3760</v>
      </c>
      <c r="X3" s="41">
        <f>TabSpecificationWork_1[[#This Row],[QUANTITY TOTAL]]*TabSpecificationWork_1[[#This Row],[PRICE UNIT $PURCHASE]]</f>
        <v>30080</v>
      </c>
      <c r="Y3" s="42"/>
      <c r="Z3" s="29" t="s">
        <v>485</v>
      </c>
      <c r="AA3" s="29" t="s">
        <v>458</v>
      </c>
      <c r="AB3" s="29"/>
    </row>
    <row r="4" spans="1:28" ht="115.2" x14ac:dyDescent="0.3">
      <c r="A4" s="27">
        <v>3</v>
      </c>
      <c r="B4" s="27">
        <v>0</v>
      </c>
      <c r="C4" s="28" t="s">
        <v>415</v>
      </c>
      <c r="D4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4" s="27">
        <v>3</v>
      </c>
      <c r="F4" s="29" t="s">
        <v>490</v>
      </c>
      <c r="G4" s="27">
        <v>5</v>
      </c>
      <c r="H4" s="27">
        <v>6</v>
      </c>
      <c r="I4" s="30" t="str">
        <f>CONCATENATE(TabSpecificationWork_1[[#This Row],[IDset]],".",TabSpecificationWork_1[[#This Row],[NUM SEQUENCE SET]])</f>
        <v>5.6</v>
      </c>
      <c r="J4" s="31" t="s">
        <v>34</v>
      </c>
      <c r="K4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1/2024-n4-горизонт-ver_3-set_5.6-true</v>
      </c>
      <c r="L4" s="32" t="s">
        <v>436</v>
      </c>
      <c r="M4" s="29" t="s">
        <v>437</v>
      </c>
      <c r="N4" s="33" t="s">
        <v>191</v>
      </c>
      <c r="O4" s="33" t="s">
        <v>116</v>
      </c>
      <c r="P4" s="33" t="s">
        <v>459</v>
      </c>
      <c r="Q4" s="33"/>
      <c r="R4" s="33" t="s">
        <v>121</v>
      </c>
      <c r="S4" s="27">
        <v>4</v>
      </c>
      <c r="T4" s="27">
        <v>1</v>
      </c>
      <c r="U4" s="27">
        <f>TabSpecificationWork_1[[#This Row],[QUANTITY SET]]*TabSpecificationWork_1[[#This Row],[QUANTITY SHIPPED SET]]</f>
        <v>4</v>
      </c>
      <c r="V4" s="27">
        <v>1000</v>
      </c>
      <c r="W4" s="41">
        <v>2450</v>
      </c>
      <c r="X4" s="41">
        <f>TabSpecificationWork_1[[#This Row],[QUANTITY TOTAL]]*TabSpecificationWork_1[[#This Row],[PRICE UNIT $PURCHASE]]</f>
        <v>9800</v>
      </c>
      <c r="Y4" s="42"/>
      <c r="Z4" s="29" t="s">
        <v>460</v>
      </c>
      <c r="AA4" s="29" t="s">
        <v>461</v>
      </c>
      <c r="AB4" s="29"/>
    </row>
    <row r="5" spans="1:28" ht="100.8" x14ac:dyDescent="0.3">
      <c r="A5" s="27">
        <v>4</v>
      </c>
      <c r="B5" s="27">
        <v>0</v>
      </c>
      <c r="C5" s="28" t="s">
        <v>415</v>
      </c>
      <c r="D5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5" s="27">
        <v>3</v>
      </c>
      <c r="F5" s="29" t="s">
        <v>492</v>
      </c>
      <c r="G5" s="27">
        <v>4</v>
      </c>
      <c r="H5" s="27">
        <v>7</v>
      </c>
      <c r="I5" s="30" t="str">
        <f>CONCATENATE(TabSpecificationWork_1[[#This Row],[IDset]],".",TabSpecificationWork_1[[#This Row],[NUM SEQUENCE SET]])</f>
        <v>4.7</v>
      </c>
      <c r="J5" s="31" t="s">
        <v>34</v>
      </c>
      <c r="K5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1/2024-n4-горизонт-ver_3-set_4.7-true</v>
      </c>
      <c r="L5" s="32" t="s">
        <v>438</v>
      </c>
      <c r="M5" s="29" t="s">
        <v>439</v>
      </c>
      <c r="N5" s="33" t="s">
        <v>200</v>
      </c>
      <c r="O5" s="33" t="s">
        <v>118</v>
      </c>
      <c r="P5" s="33" t="s">
        <v>462</v>
      </c>
      <c r="Q5" s="33"/>
      <c r="R5" s="33" t="s">
        <v>121</v>
      </c>
      <c r="S5" s="27">
        <v>22</v>
      </c>
      <c r="T5" s="27">
        <v>1</v>
      </c>
      <c r="U5" s="27">
        <f>TabSpecificationWork_1[[#This Row],[QUANTITY SET]]*TabSpecificationWork_1[[#This Row],[QUANTITY SHIPPED SET]]</f>
        <v>22</v>
      </c>
      <c r="V5" s="27">
        <v>25</v>
      </c>
      <c r="W5" s="41">
        <v>615</v>
      </c>
      <c r="X5" s="41">
        <f>TabSpecificationWork_1[[#This Row],[QUANTITY TOTAL]]*TabSpecificationWork_1[[#This Row],[PRICE UNIT $PURCHASE]]</f>
        <v>13530</v>
      </c>
      <c r="Y5" s="42"/>
      <c r="Z5" s="29" t="s">
        <v>463</v>
      </c>
      <c r="AA5" s="29" t="s">
        <v>464</v>
      </c>
      <c r="AB5" s="29"/>
    </row>
    <row r="6" spans="1:28" ht="86.4" x14ac:dyDescent="0.3">
      <c r="A6" s="27">
        <v>5</v>
      </c>
      <c r="B6" s="27">
        <v>0</v>
      </c>
      <c r="C6" s="28" t="s">
        <v>415</v>
      </c>
      <c r="D6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6" s="27">
        <v>3</v>
      </c>
      <c r="F6" s="29" t="s">
        <v>492</v>
      </c>
      <c r="G6" s="27">
        <v>4</v>
      </c>
      <c r="H6" s="27">
        <v>8</v>
      </c>
      <c r="I6" s="30" t="str">
        <f>CONCATENATE(TabSpecificationWork_1[[#This Row],[IDset]],".",TabSpecificationWork_1[[#This Row],[NUM SEQUENCE SET]])</f>
        <v>4.8</v>
      </c>
      <c r="J6" s="31" t="s">
        <v>34</v>
      </c>
      <c r="K6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1/2024-n4-горизонт-ver_3-set_4.8-true</v>
      </c>
      <c r="L6" s="32" t="s">
        <v>440</v>
      </c>
      <c r="M6" s="29" t="s">
        <v>441</v>
      </c>
      <c r="N6" s="33" t="s">
        <v>201</v>
      </c>
      <c r="O6" s="33" t="s">
        <v>118</v>
      </c>
      <c r="P6" s="33" t="s">
        <v>465</v>
      </c>
      <c r="Q6" s="33"/>
      <c r="R6" s="33" t="s">
        <v>121</v>
      </c>
      <c r="S6" s="27">
        <v>4</v>
      </c>
      <c r="T6" s="27">
        <v>1</v>
      </c>
      <c r="U6" s="27">
        <f>TabSpecificationWork_1[[#This Row],[QUANTITY SET]]*TabSpecificationWork_1[[#This Row],[QUANTITY SHIPPED SET]]</f>
        <v>4</v>
      </c>
      <c r="V6" s="27">
        <v>100</v>
      </c>
      <c r="W6" s="41">
        <v>649</v>
      </c>
      <c r="X6" s="41">
        <f>TabSpecificationWork_1[[#This Row],[QUANTITY TOTAL]]*TabSpecificationWork_1[[#This Row],[PRICE UNIT $PURCHASE]]</f>
        <v>2596</v>
      </c>
      <c r="Y6" s="42"/>
      <c r="Z6" s="29" t="s">
        <v>466</v>
      </c>
      <c r="AA6" s="29" t="s">
        <v>467</v>
      </c>
      <c r="AB6" s="29"/>
    </row>
    <row r="7" spans="1:28" ht="86.4" x14ac:dyDescent="0.3">
      <c r="A7" s="27">
        <v>6</v>
      </c>
      <c r="B7" s="27">
        <v>0</v>
      </c>
      <c r="C7" s="28" t="s">
        <v>415</v>
      </c>
      <c r="D7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7" s="27">
        <v>3</v>
      </c>
      <c r="F7" s="29" t="s">
        <v>492</v>
      </c>
      <c r="G7" s="27">
        <v>4</v>
      </c>
      <c r="H7" s="27">
        <v>9</v>
      </c>
      <c r="I7" s="30" t="str">
        <f>CONCATENATE(TabSpecificationWork_1[[#This Row],[IDset]],".",TabSpecificationWork_1[[#This Row],[NUM SEQUENCE SET]])</f>
        <v>4.9</v>
      </c>
      <c r="J7" s="31" t="s">
        <v>34</v>
      </c>
      <c r="K7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1/2024-n4-горизонт-ver_3-set_4.9-true</v>
      </c>
      <c r="L7" s="32" t="s">
        <v>442</v>
      </c>
      <c r="M7" s="29" t="s">
        <v>443</v>
      </c>
      <c r="N7" s="33" t="s">
        <v>201</v>
      </c>
      <c r="O7" s="33" t="s">
        <v>118</v>
      </c>
      <c r="P7" s="33" t="s">
        <v>468</v>
      </c>
      <c r="Q7" s="33"/>
      <c r="R7" s="33" t="s">
        <v>121</v>
      </c>
      <c r="S7" s="27">
        <v>4</v>
      </c>
      <c r="T7" s="27">
        <v>1</v>
      </c>
      <c r="U7" s="27">
        <f>TabSpecificationWork_1[[#This Row],[QUANTITY SET]]*TabSpecificationWork_1[[#This Row],[QUANTITY SHIPPED SET]]</f>
        <v>4</v>
      </c>
      <c r="V7" s="27">
        <v>5</v>
      </c>
      <c r="W7" s="41">
        <v>470</v>
      </c>
      <c r="X7" s="41">
        <f>TabSpecificationWork_1[[#This Row],[QUANTITY TOTAL]]*TabSpecificationWork_1[[#This Row],[PRICE UNIT $PURCHASE]]</f>
        <v>1880</v>
      </c>
      <c r="Y7" s="42"/>
      <c r="Z7" s="29" t="s">
        <v>466</v>
      </c>
      <c r="AA7" s="29" t="s">
        <v>469</v>
      </c>
      <c r="AB7" s="29"/>
    </row>
    <row r="8" spans="1:28" ht="86.4" x14ac:dyDescent="0.3">
      <c r="A8" s="27">
        <v>7</v>
      </c>
      <c r="B8" s="27">
        <v>0</v>
      </c>
      <c r="C8" s="28" t="s">
        <v>415</v>
      </c>
      <c r="D8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8" s="27">
        <v>3</v>
      </c>
      <c r="F8" s="29" t="s">
        <v>492</v>
      </c>
      <c r="G8" s="27">
        <v>4</v>
      </c>
      <c r="H8" s="27">
        <v>10</v>
      </c>
      <c r="I8" s="30" t="str">
        <f>CONCATENATE(TabSpecificationWork_1[[#This Row],[IDset]],".",TabSpecificationWork_1[[#This Row],[NUM SEQUENCE SET]])</f>
        <v>4.10</v>
      </c>
      <c r="J8" s="31" t="s">
        <v>34</v>
      </c>
      <c r="K8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1/2024-n4-горизонт-ver_3-set_4.10-true</v>
      </c>
      <c r="L8" s="32" t="s">
        <v>444</v>
      </c>
      <c r="M8" s="29" t="s">
        <v>445</v>
      </c>
      <c r="N8" s="33" t="s">
        <v>201</v>
      </c>
      <c r="O8" s="33" t="s">
        <v>118</v>
      </c>
      <c r="P8" s="33" t="s">
        <v>470</v>
      </c>
      <c r="Q8" s="33"/>
      <c r="R8" s="33" t="s">
        <v>121</v>
      </c>
      <c r="S8" s="27">
        <v>4</v>
      </c>
      <c r="T8" s="27">
        <v>1</v>
      </c>
      <c r="U8" s="27">
        <f>TabSpecificationWork_1[[#This Row],[QUANTITY SET]]*TabSpecificationWork_1[[#This Row],[QUANTITY SHIPPED SET]]</f>
        <v>4</v>
      </c>
      <c r="V8" s="27">
        <v>10</v>
      </c>
      <c r="W8" s="41">
        <v>425</v>
      </c>
      <c r="X8" s="41">
        <f>TabSpecificationWork_1[[#This Row],[QUANTITY TOTAL]]*TabSpecificationWork_1[[#This Row],[PRICE UNIT $PURCHASE]]</f>
        <v>1700</v>
      </c>
      <c r="Y8" s="42"/>
      <c r="Z8" s="29" t="s">
        <v>466</v>
      </c>
      <c r="AA8" s="29" t="s">
        <v>471</v>
      </c>
      <c r="AB8" s="29"/>
    </row>
    <row r="9" spans="1:28" ht="72" x14ac:dyDescent="0.3">
      <c r="A9" s="27">
        <v>8</v>
      </c>
      <c r="B9" s="27">
        <v>0</v>
      </c>
      <c r="C9" s="28" t="s">
        <v>415</v>
      </c>
      <c r="D9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9" s="27">
        <v>3</v>
      </c>
      <c r="F9" s="29" t="s">
        <v>488</v>
      </c>
      <c r="G9" s="27">
        <v>4</v>
      </c>
      <c r="H9" s="27">
        <v>11</v>
      </c>
      <c r="I9" s="30" t="str">
        <f>CONCATENATE(TabSpecificationWork_1[[#This Row],[IDset]],".",TabSpecificationWork_1[[#This Row],[NUM SEQUENCE SET]])</f>
        <v>4.11</v>
      </c>
      <c r="J9" s="31" t="s">
        <v>34</v>
      </c>
      <c r="K9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1/2024-n4-горизонт-ver_3-set_4.11-true</v>
      </c>
      <c r="L9" s="32" t="s">
        <v>446</v>
      </c>
      <c r="M9" s="29" t="s">
        <v>447</v>
      </c>
      <c r="N9" s="33" t="s">
        <v>191</v>
      </c>
      <c r="O9" s="33" t="s">
        <v>116</v>
      </c>
      <c r="P9" s="33" t="s">
        <v>472</v>
      </c>
      <c r="Q9" s="33"/>
      <c r="R9" s="33" t="s">
        <v>121</v>
      </c>
      <c r="S9" s="27">
        <v>1</v>
      </c>
      <c r="T9" s="27">
        <v>1</v>
      </c>
      <c r="U9" s="27">
        <f>TabSpecificationWork_1[[#This Row],[QUANTITY SET]]*TabSpecificationWork_1[[#This Row],[QUANTITY SHIPPED SET]]</f>
        <v>1</v>
      </c>
      <c r="V9" s="27"/>
      <c r="W9" s="41">
        <v>2596</v>
      </c>
      <c r="X9" s="41">
        <f>TabSpecificationWork_1[[#This Row],[QUANTITY TOTAL]]*TabSpecificationWork_1[[#This Row],[PRICE UNIT $PURCHASE]]</f>
        <v>2596</v>
      </c>
      <c r="Y9" s="42"/>
      <c r="Z9" s="29" t="s">
        <v>473</v>
      </c>
      <c r="AA9" s="29" t="s">
        <v>474</v>
      </c>
      <c r="AB9" s="29"/>
    </row>
    <row r="10" spans="1:28" ht="201.6" x14ac:dyDescent="0.3">
      <c r="A10" s="27">
        <v>9</v>
      </c>
      <c r="B10" s="27">
        <v>0</v>
      </c>
      <c r="C10" s="28" t="s">
        <v>415</v>
      </c>
      <c r="D10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10" s="27">
        <v>3</v>
      </c>
      <c r="F10" s="29" t="s">
        <v>489</v>
      </c>
      <c r="G10" s="27">
        <v>6</v>
      </c>
      <c r="H10" s="27">
        <v>1</v>
      </c>
      <c r="I10" s="30" t="str">
        <f>CONCATENATE(TabSpecificationWork_1[[#This Row],[IDset]],".",TabSpecificationWork_1[[#This Row],[NUM SEQUENCE SET]])</f>
        <v>6.1</v>
      </c>
      <c r="J10" s="31" t="s">
        <v>34</v>
      </c>
      <c r="K10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1/2024-n4-горизонт-ver_3-set_6.1-true</v>
      </c>
      <c r="L10" s="32" t="s">
        <v>448</v>
      </c>
      <c r="M10" s="29" t="s">
        <v>449</v>
      </c>
      <c r="N10" s="33" t="s">
        <v>475</v>
      </c>
      <c r="O10" s="33" t="s">
        <v>119</v>
      </c>
      <c r="P10" s="33" t="s">
        <v>476</v>
      </c>
      <c r="Q10" s="33"/>
      <c r="R10" s="33" t="s">
        <v>121</v>
      </c>
      <c r="S10" s="27">
        <v>1</v>
      </c>
      <c r="T10" s="27">
        <v>1</v>
      </c>
      <c r="U10" s="27">
        <f>TabSpecificationWork_1[[#This Row],[QUANTITY SET]]*TabSpecificationWork_1[[#This Row],[QUANTITY SHIPPED SET]]</f>
        <v>1</v>
      </c>
      <c r="V10" s="27">
        <v>5</v>
      </c>
      <c r="W10" s="41">
        <v>57903</v>
      </c>
      <c r="X10" s="41">
        <f>TabSpecificationWork_1[[#This Row],[QUANTITY TOTAL]]*TabSpecificationWork_1[[#This Row],[PRICE UNIT $PURCHASE]]</f>
        <v>57903</v>
      </c>
      <c r="Y10" s="42"/>
      <c r="Z10" s="29" t="s">
        <v>477</v>
      </c>
      <c r="AA10" s="29" t="s">
        <v>478</v>
      </c>
      <c r="AB10" s="29"/>
    </row>
    <row r="11" spans="1:28" ht="43.2" x14ac:dyDescent="0.3">
      <c r="A11" s="27">
        <v>10</v>
      </c>
      <c r="B11" s="27">
        <v>0</v>
      </c>
      <c r="C11" s="28" t="s">
        <v>415</v>
      </c>
      <c r="D11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11" s="27">
        <v>3</v>
      </c>
      <c r="F11" s="29" t="s">
        <v>450</v>
      </c>
      <c r="G11" s="27">
        <v>7</v>
      </c>
      <c r="H11" s="27">
        <v>1</v>
      </c>
      <c r="I11" s="30" t="str">
        <f>CONCATENATE(TabSpecificationWork_1[[#This Row],[IDset]],".",TabSpecificationWork_1[[#This Row],[NUM SEQUENCE SET]])</f>
        <v>7.1</v>
      </c>
      <c r="J11" s="31" t="s">
        <v>34</v>
      </c>
      <c r="K11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1/2024-n4-горизонт-ver_3-set_7.1-true</v>
      </c>
      <c r="L11" s="32" t="s">
        <v>451</v>
      </c>
      <c r="M11" s="29" t="s">
        <v>452</v>
      </c>
      <c r="N11" s="33" t="s">
        <v>410</v>
      </c>
      <c r="O11" s="33" t="s">
        <v>116</v>
      </c>
      <c r="P11" s="33" t="s">
        <v>479</v>
      </c>
      <c r="Q11" s="33"/>
      <c r="R11" s="33" t="s">
        <v>121</v>
      </c>
      <c r="S11" s="27">
        <v>3</v>
      </c>
      <c r="T11" s="27">
        <v>1</v>
      </c>
      <c r="U11" s="27">
        <f>TabSpecificationWork_1[[#This Row],[QUANTITY SET]]*TabSpecificationWork_1[[#This Row],[QUANTITY SHIPPED SET]]</f>
        <v>3</v>
      </c>
      <c r="V11" s="27">
        <v>100</v>
      </c>
      <c r="W11" s="41">
        <v>13780</v>
      </c>
      <c r="X11" s="41">
        <f>TabSpecificationWork_1[[#This Row],[QUANTITY TOTAL]]*TabSpecificationWork_1[[#This Row],[PRICE UNIT $PURCHASE]]</f>
        <v>41340</v>
      </c>
      <c r="Y11" s="42"/>
      <c r="Z11" s="29" t="s">
        <v>480</v>
      </c>
      <c r="AA11" s="29" t="s">
        <v>481</v>
      </c>
      <c r="AB11" s="29"/>
    </row>
    <row r="12" spans="1:28" ht="115.2" x14ac:dyDescent="0.3">
      <c r="A12" s="27">
        <v>11</v>
      </c>
      <c r="B12" s="27"/>
      <c r="C12" s="28" t="s">
        <v>415</v>
      </c>
      <c r="D12" s="27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4</v>
      </c>
      <c r="E12" s="27">
        <v>3</v>
      </c>
      <c r="F12" s="29" t="s">
        <v>488</v>
      </c>
      <c r="G12" s="27">
        <v>4</v>
      </c>
      <c r="H12" s="27">
        <v>12</v>
      </c>
      <c r="I12" s="30" t="str">
        <f>CONCATENATE(TabSpecificationWork_1[[#This Row],[IDset]],".",TabSpecificationWork_1[[#This Row],[NUM SEQUENCE SET]])</f>
        <v>4.12</v>
      </c>
      <c r="J12" s="31" t="s">
        <v>34</v>
      </c>
      <c r="K12" s="35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1/2024-n4-горизонт-ver_3-set_4.12-true</v>
      </c>
      <c r="L12" s="32" t="s">
        <v>453</v>
      </c>
      <c r="M12" s="29" t="s">
        <v>454</v>
      </c>
      <c r="N12" s="33" t="s">
        <v>110</v>
      </c>
      <c r="O12" s="33" t="s">
        <v>118</v>
      </c>
      <c r="P12" s="33">
        <v>1821981</v>
      </c>
      <c r="Q12" s="33"/>
      <c r="R12" s="33"/>
      <c r="S12" s="27">
        <v>20</v>
      </c>
      <c r="T12" s="27">
        <v>1</v>
      </c>
      <c r="U12" s="27">
        <f>TabSpecificationWork_1[[#This Row],[QUANTITY SET]]*TabSpecificationWork_1[[#This Row],[QUANTITY SHIPPED SET]]</f>
        <v>20</v>
      </c>
      <c r="V12" s="27">
        <v>100</v>
      </c>
      <c r="W12" s="41">
        <v>809</v>
      </c>
      <c r="X12" s="34">
        <f>TabSpecificationWork_1[[#This Row],[QUANTITY TOTAL]]*TabSpecificationWork_1[[#This Row],[PRICE UNIT $PURCHASE]]</f>
        <v>16180</v>
      </c>
      <c r="Y12" s="36"/>
      <c r="Z12" s="29" t="s">
        <v>482</v>
      </c>
      <c r="AA12" s="29" t="s">
        <v>483</v>
      </c>
      <c r="AB12" s="29"/>
    </row>
  </sheetData>
  <phoneticPr fontId="19" type="noConversion"/>
  <conditionalFormatting sqref="C2:C12">
    <cfRule type="duplicateValues" dxfId="49" priority="23"/>
  </conditionalFormatting>
  <conditionalFormatting sqref="K2:K12">
    <cfRule type="notContainsBlanks" dxfId="48" priority="25">
      <formula>LEN(TRIM(K2))&gt;0</formula>
    </cfRule>
    <cfRule type="duplicateValues" priority="26"/>
  </conditionalFormatting>
  <conditionalFormatting sqref="W2:W12">
    <cfRule type="notContainsBlanks" dxfId="47" priority="1">
      <formula>LEN(TRIM(W2))&gt;0</formula>
    </cfRule>
  </conditionalFormatting>
  <conditionalFormatting sqref="X2:X12">
    <cfRule type="notContainsBlanks" dxfId="46" priority="2">
      <formula>LEN(TRIM(X2))&gt;0</formula>
    </cfRule>
  </conditionalFormatting>
  <dataValidations count="5">
    <dataValidation type="list" showInputMessage="1" showErrorMessage="1" sqref="C2:C12" xr:uid="{672C23D1-CF50-40A7-B8EA-B26A583FFA99}">
      <formula1>INDIRECT("TabHandbookProject[IDprojectfull]")</formula1>
    </dataValidation>
    <dataValidation type="list" showInputMessage="1" showErrorMessage="1" sqref="J2:J12" xr:uid="{9B9D790D-A184-4957-A391-57F2969E43F7}">
      <formula1>"true,false"</formula1>
    </dataValidation>
    <dataValidation type="list" allowBlank="1" showInputMessage="1" showErrorMessage="1" sqref="N3:N12" xr:uid="{72549B2C-B762-41CA-A115-84700443249E}">
      <formula1>INDIRECT("TabVendorAndBrand[BRAND]")</formula1>
    </dataValidation>
    <dataValidation type="list" allowBlank="1" showInputMessage="1" showErrorMessage="1" sqref="O3:O12" xr:uid="{F97E6FD8-8A99-4138-8184-ACB66556E7E1}">
      <formula1>INDIRECT("TabHandbookSupplier[COMPANY_LABEL]")</formula1>
    </dataValidation>
    <dataValidation type="list" allowBlank="1" showInputMessage="1" showErrorMessage="1" sqref="R3:R12" xr:uid="{830E306D-B376-4CB1-B0DE-CC53C94F99AB}">
      <formula1>INDIRECT("TabHandbookUnit[UNITS]")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788F-427C-4C8A-973B-3BED45D75508}">
  <dimension ref="A1:R12"/>
  <sheetViews>
    <sheetView workbookViewId="0">
      <selection activeCell="D2" sqref="D2"/>
    </sheetView>
  </sheetViews>
  <sheetFormatPr defaultRowHeight="14.4" x14ac:dyDescent="0.3"/>
  <cols>
    <col min="1" max="1" width="15.88671875" style="20" customWidth="1"/>
    <col min="2" max="3" width="8.88671875" style="9"/>
    <col min="4" max="4" width="22.6640625" style="20" customWidth="1"/>
    <col min="5" max="5" width="37" hidden="1" customWidth="1"/>
    <col min="6" max="6" width="37.5546875" customWidth="1"/>
    <col min="7" max="7" width="11.6640625" customWidth="1"/>
    <col min="8" max="8" width="12.88671875" customWidth="1"/>
    <col min="9" max="9" width="15.33203125" customWidth="1"/>
    <col min="10" max="10" width="10.88671875" customWidth="1"/>
    <col min="11" max="11" width="15.5546875" customWidth="1"/>
    <col min="12" max="12" width="11.33203125" customWidth="1"/>
    <col min="13" max="13" width="16" customWidth="1"/>
    <col min="14" max="14" width="14.33203125" customWidth="1"/>
    <col min="15" max="15" width="15.88671875" customWidth="1"/>
    <col min="16" max="16" width="10.33203125" customWidth="1"/>
    <col min="17" max="17" width="13.6640625" customWidth="1"/>
    <col min="18" max="18" width="57.5546875" customWidth="1"/>
  </cols>
  <sheetData>
    <row r="1" spans="1:18" ht="59.4" customHeight="1" thickBot="1" x14ac:dyDescent="0.35">
      <c r="A1" s="19" t="s">
        <v>236</v>
      </c>
      <c r="B1" s="19" t="s">
        <v>233</v>
      </c>
      <c r="C1" s="19" t="s">
        <v>235</v>
      </c>
      <c r="D1" s="19" t="s">
        <v>238</v>
      </c>
      <c r="E1" s="18" t="s">
        <v>237</v>
      </c>
      <c r="F1" s="21" t="s">
        <v>237</v>
      </c>
      <c r="G1" s="21" t="s">
        <v>260</v>
      </c>
      <c r="H1" s="21" t="s">
        <v>261</v>
      </c>
      <c r="I1" s="22" t="s">
        <v>262</v>
      </c>
      <c r="J1" s="21" t="s">
        <v>263</v>
      </c>
      <c r="K1" s="21" t="s">
        <v>264</v>
      </c>
      <c r="L1" s="21" t="s">
        <v>265</v>
      </c>
      <c r="M1" s="21" t="s">
        <v>266</v>
      </c>
      <c r="N1" s="21" t="s">
        <v>209</v>
      </c>
      <c r="O1" s="21" t="s">
        <v>267</v>
      </c>
      <c r="P1" s="21" t="s">
        <v>394</v>
      </c>
      <c r="Q1" s="21" t="s">
        <v>497</v>
      </c>
      <c r="R1" s="21" t="s">
        <v>268</v>
      </c>
    </row>
    <row r="2" spans="1:18" x14ac:dyDescent="0.3">
      <c r="A2" s="20" t="str" cm="1">
        <f t="array" ref="A2:E12">_xlfn.CHOOSECOLS(TabSpecificationWork_1[],9,5,8,12,11)</f>
        <v>3.4</v>
      </c>
      <c r="B2" s="9">
        <v>3</v>
      </c>
      <c r="C2" s="9">
        <v>4</v>
      </c>
      <c r="D2" s="20" t="str">
        <v>OS3228</v>
      </c>
      <c r="E2" t="str">
        <v>1/2024-n4-горизонт-ver_3-set_3.4-true</v>
      </c>
      <c r="F2" s="14" t="str">
        <f>E2</f>
        <v>1/2024-n4-горизонт-ver_3-set_3.4-true</v>
      </c>
      <c r="G2" s="16">
        <v>3.77</v>
      </c>
      <c r="H2" s="60">
        <f>TabSpecificationWork_2[[#This Row],[COEFFICIENT MARKUP]]*TabSpecificationWork_1[[#This Row],[PRICE UNIT $PURCHASE]]</f>
        <v>60320</v>
      </c>
      <c r="I2" s="61">
        <f>TabSpecificationWork_1[[#This Row],[QUANTITY TOTAL]]*TabSpecificationWork_2[[#This Row],[PRICE UNIT $SALE]]</f>
        <v>60320</v>
      </c>
      <c r="J2" s="10">
        <v>0</v>
      </c>
      <c r="K2" s="23">
        <f>(TabSpecificationWork_2[[#This Row],[COST DEAL $SALE]]/100)*TabSpecificationWork_2[[#This Row],[DISCOUNT PERCENT]]</f>
        <v>0</v>
      </c>
      <c r="M2" s="17">
        <f>TabSpecificationWork_2[[#This Row],[PRICE UNIT $SALE]]</f>
        <v>60320</v>
      </c>
      <c r="N2" s="17">
        <f>TabSpecificationWork_2[[#This Row],[COST DEAL $SALE]]-TabSpecificationWork_2[[#This Row],[DISCOUNT MONEY]]</f>
        <v>60320</v>
      </c>
      <c r="O2" s="11"/>
      <c r="P2" s="10" t="s">
        <v>34</v>
      </c>
      <c r="Q2" s="10" t="s">
        <v>33</v>
      </c>
    </row>
    <row r="3" spans="1:18" x14ac:dyDescent="0.3">
      <c r="A3" s="20" t="str">
        <v>5.5</v>
      </c>
      <c r="B3" s="9">
        <v>3</v>
      </c>
      <c r="C3" s="9">
        <v>5</v>
      </c>
      <c r="D3" s="20" t="str">
        <v>DEM-432XT</v>
      </c>
      <c r="E3" t="str">
        <v>1/2024-n4-горизонт-ver_3-set_5.5-false</v>
      </c>
      <c r="F3" s="14" t="str">
        <f t="shared" ref="F3:F12" si="0">E3</f>
        <v>1/2024-n4-горизонт-ver_3-set_5.5-false</v>
      </c>
      <c r="G3" s="16">
        <v>1.1000000000000001</v>
      </c>
      <c r="H3" s="60">
        <f>TabSpecificationWork_2[[#This Row],[COEFFICIENT MARKUP]]*TabSpecificationWork_1[[#This Row],[PRICE UNIT $PURCHASE]]</f>
        <v>4136</v>
      </c>
      <c r="I3" s="61">
        <f>TabSpecificationWork_1[[#This Row],[QUANTITY TOTAL]]*TabSpecificationWork_2[[#This Row],[PRICE UNIT $SALE]]</f>
        <v>33088</v>
      </c>
      <c r="J3" s="10">
        <v>0</v>
      </c>
      <c r="K3" s="23">
        <f>(TabSpecificationWork_2[[#This Row],[COST DEAL $SALE]]/100)*TabSpecificationWork_2[[#This Row],[DISCOUNT PERCENT]]</f>
        <v>0</v>
      </c>
      <c r="L3" s="37"/>
      <c r="M3" s="17">
        <f>TabSpecificationWork_2[[#This Row],[PRICE UNIT $SALE]]</f>
        <v>4136</v>
      </c>
      <c r="N3" s="17">
        <f>TabSpecificationWork_2[[#This Row],[COST DEAL $SALE]]-TabSpecificationWork_2[[#This Row],[DISCOUNT MONEY]]</f>
        <v>33088</v>
      </c>
      <c r="O3" s="38"/>
      <c r="P3" s="12" t="s">
        <v>34</v>
      </c>
      <c r="Q3" s="12" t="s">
        <v>33</v>
      </c>
      <c r="R3" s="37"/>
    </row>
    <row r="4" spans="1:18" ht="43.2" x14ac:dyDescent="0.3">
      <c r="A4" s="20" t="str">
        <v>5.6</v>
      </c>
      <c r="B4" s="9">
        <v>3</v>
      </c>
      <c r="C4" s="9">
        <v>6</v>
      </c>
      <c r="D4" s="20" t="str">
        <v>Модуль SFP с интерфейсом RJ45, до 100м</v>
      </c>
      <c r="E4" t="str">
        <v>1/2024-n4-горизонт-ver_3-set_5.6-true</v>
      </c>
      <c r="F4" s="14" t="str">
        <f t="shared" si="0"/>
        <v>1/2024-n4-горизонт-ver_3-set_5.6-true</v>
      </c>
      <c r="G4" s="16">
        <v>1.1000000000000001</v>
      </c>
      <c r="H4" s="60">
        <f>TabSpecificationWork_2[[#This Row],[COEFFICIENT MARKUP]]*TabSpecificationWork_1[[#This Row],[PRICE UNIT $PURCHASE]]</f>
        <v>2695</v>
      </c>
      <c r="I4" s="61">
        <f>TabSpecificationWork_1[[#This Row],[QUANTITY TOTAL]]*TabSpecificationWork_2[[#This Row],[PRICE UNIT $SALE]]</f>
        <v>10780</v>
      </c>
      <c r="J4" s="10">
        <v>0</v>
      </c>
      <c r="K4" s="23">
        <f>(TabSpecificationWork_2[[#This Row],[COST DEAL $SALE]]/100)*TabSpecificationWork_2[[#This Row],[DISCOUNT PERCENT]]</f>
        <v>0</v>
      </c>
      <c r="L4" s="37"/>
      <c r="M4" s="17">
        <f>TabSpecificationWork_2[[#This Row],[PRICE UNIT $SALE]]</f>
        <v>2695</v>
      </c>
      <c r="N4" s="17">
        <f>TabSpecificationWork_2[[#This Row],[COST DEAL $SALE]]-TabSpecificationWork_2[[#This Row],[DISCOUNT MONEY]]</f>
        <v>10780</v>
      </c>
      <c r="O4" s="38"/>
      <c r="P4" s="12" t="s">
        <v>33</v>
      </c>
      <c r="Q4" s="12" t="s">
        <v>33</v>
      </c>
      <c r="R4" s="37"/>
    </row>
    <row r="5" spans="1:18" ht="28.8" x14ac:dyDescent="0.3">
      <c r="A5" s="20" t="str">
        <v>4.7</v>
      </c>
      <c r="B5" s="9">
        <v>3</v>
      </c>
      <c r="C5" s="9">
        <v>7</v>
      </c>
      <c r="D5" s="20" t="str">
        <v>Патч-корд оптический LC-LC-SM duplex</v>
      </c>
      <c r="E5" t="str">
        <v>1/2024-n4-горизонт-ver_3-set_4.7-true</v>
      </c>
      <c r="F5" s="14" t="str">
        <f t="shared" si="0"/>
        <v>1/2024-n4-горизонт-ver_3-set_4.7-true</v>
      </c>
      <c r="G5" s="16">
        <v>1.35</v>
      </c>
      <c r="H5" s="60">
        <f>TabSpecificationWork_2[[#This Row],[COEFFICIENT MARKUP]]*TabSpecificationWork_1[[#This Row],[PRICE UNIT $PURCHASE]]</f>
        <v>830.25</v>
      </c>
      <c r="I5" s="61">
        <f>TabSpecificationWork_1[[#This Row],[QUANTITY TOTAL]]*TabSpecificationWork_2[[#This Row],[PRICE UNIT $SALE]]</f>
        <v>18265.5</v>
      </c>
      <c r="J5" s="10">
        <v>0</v>
      </c>
      <c r="K5" s="23">
        <f>(TabSpecificationWork_2[[#This Row],[COST DEAL $SALE]]/100)*TabSpecificationWork_2[[#This Row],[DISCOUNT PERCENT]]</f>
        <v>0</v>
      </c>
      <c r="L5" s="37"/>
      <c r="M5" s="17">
        <f>TabSpecificationWork_2[[#This Row],[PRICE UNIT $SALE]]</f>
        <v>830.25</v>
      </c>
      <c r="N5" s="17">
        <f>TabSpecificationWork_2[[#This Row],[COST DEAL $SALE]]-TabSpecificationWork_2[[#This Row],[DISCOUNT MONEY]]</f>
        <v>18265.5</v>
      </c>
      <c r="O5" s="38"/>
      <c r="P5" s="12" t="s">
        <v>34</v>
      </c>
      <c r="Q5" s="12" t="s">
        <v>34</v>
      </c>
      <c r="R5" s="37"/>
    </row>
    <row r="6" spans="1:18" ht="28.8" x14ac:dyDescent="0.3">
      <c r="A6" s="20" t="str">
        <v>4.8</v>
      </c>
      <c r="B6" s="9">
        <v>3</v>
      </c>
      <c r="C6" s="9">
        <v>8</v>
      </c>
      <c r="D6" s="20" t="str">
        <v>Патч-корд RG45 cat 6, 3 м красный</v>
      </c>
      <c r="E6" t="str">
        <v>1/2024-n4-горизонт-ver_3-set_4.8-true</v>
      </c>
      <c r="F6" s="14" t="str">
        <f t="shared" si="0"/>
        <v>1/2024-n4-горизонт-ver_3-set_4.8-true</v>
      </c>
      <c r="G6" s="16">
        <v>1.35</v>
      </c>
      <c r="H6" s="60">
        <f>TabSpecificationWork_2[[#This Row],[COEFFICIENT MARKUP]]*TabSpecificationWork_1[[#This Row],[PRICE UNIT $PURCHASE]]</f>
        <v>876.15000000000009</v>
      </c>
      <c r="I6" s="61">
        <f>TabSpecificationWork_1[[#This Row],[QUANTITY TOTAL]]*TabSpecificationWork_2[[#This Row],[PRICE UNIT $SALE]]</f>
        <v>3504.6000000000004</v>
      </c>
      <c r="J6" s="10">
        <v>0</v>
      </c>
      <c r="K6" s="23">
        <f>(TabSpecificationWork_2[[#This Row],[COST DEAL $SALE]]/100)*TabSpecificationWork_2[[#This Row],[DISCOUNT PERCENT]]</f>
        <v>0</v>
      </c>
      <c r="L6" s="37"/>
      <c r="M6" s="17">
        <f>TabSpecificationWork_2[[#This Row],[PRICE UNIT $SALE]]</f>
        <v>876.15000000000009</v>
      </c>
      <c r="N6" s="17">
        <f>TabSpecificationWork_2[[#This Row],[COST DEAL $SALE]]-TabSpecificationWork_2[[#This Row],[DISCOUNT MONEY]]</f>
        <v>3504.6000000000004</v>
      </c>
      <c r="O6" s="37"/>
      <c r="P6" s="12" t="s">
        <v>34</v>
      </c>
      <c r="Q6" s="12" t="s">
        <v>33</v>
      </c>
      <c r="R6" s="37"/>
    </row>
    <row r="7" spans="1:18" ht="28.8" x14ac:dyDescent="0.3">
      <c r="A7" s="20" t="str">
        <v>4.9</v>
      </c>
      <c r="B7" s="9">
        <v>3</v>
      </c>
      <c r="C7" s="9">
        <v>9</v>
      </c>
      <c r="D7" s="20" t="str">
        <v>Патч-корд RG45 cat 6, 3 м желтый</v>
      </c>
      <c r="E7" t="str">
        <v>1/2024-n4-горизонт-ver_3-set_4.9-true</v>
      </c>
      <c r="F7" s="14" t="str">
        <f t="shared" si="0"/>
        <v>1/2024-n4-горизонт-ver_3-set_4.9-true</v>
      </c>
      <c r="G7" s="16">
        <v>1.35</v>
      </c>
      <c r="H7" s="60">
        <f>TabSpecificationWork_2[[#This Row],[COEFFICIENT MARKUP]]*TabSpecificationWork_1[[#This Row],[PRICE UNIT $PURCHASE]]</f>
        <v>634.5</v>
      </c>
      <c r="I7" s="61">
        <f>TabSpecificationWork_1[[#This Row],[QUANTITY TOTAL]]*TabSpecificationWork_2[[#This Row],[PRICE UNIT $SALE]]</f>
        <v>2538</v>
      </c>
      <c r="J7" s="10">
        <v>0</v>
      </c>
      <c r="K7" s="23">
        <f>(TabSpecificationWork_2[[#This Row],[COST DEAL $SALE]]/100)*TabSpecificationWork_2[[#This Row],[DISCOUNT PERCENT]]</f>
        <v>0</v>
      </c>
      <c r="L7" s="37"/>
      <c r="M7" s="17">
        <f>TabSpecificationWork_2[[#This Row],[PRICE UNIT $SALE]]</f>
        <v>634.5</v>
      </c>
      <c r="N7" s="17">
        <f>TabSpecificationWork_2[[#This Row],[COST DEAL $SALE]]-TabSpecificationWork_2[[#This Row],[DISCOUNT MONEY]]</f>
        <v>2538</v>
      </c>
      <c r="O7" s="37"/>
      <c r="P7" s="12" t="s">
        <v>34</v>
      </c>
      <c r="Q7" s="12" t="s">
        <v>33</v>
      </c>
      <c r="R7" s="37"/>
    </row>
    <row r="8" spans="1:18" ht="28.8" x14ac:dyDescent="0.3">
      <c r="A8" s="20" t="str">
        <v>4.10</v>
      </c>
      <c r="B8" s="9">
        <v>3</v>
      </c>
      <c r="C8" s="9">
        <v>10</v>
      </c>
      <c r="D8" s="20" t="str">
        <v>Патч-корд RG45 cat 6, 3 м синий</v>
      </c>
      <c r="E8" t="str">
        <v>1/2024-n4-горизонт-ver_3-set_4.10-true</v>
      </c>
      <c r="F8" s="14" t="str">
        <f t="shared" si="0"/>
        <v>1/2024-n4-горизонт-ver_3-set_4.10-true</v>
      </c>
      <c r="G8" s="16">
        <v>1.35</v>
      </c>
      <c r="H8" s="60">
        <f>TabSpecificationWork_2[[#This Row],[COEFFICIENT MARKUP]]*TabSpecificationWork_1[[#This Row],[PRICE UNIT $PURCHASE]]</f>
        <v>573.75</v>
      </c>
      <c r="I8" s="61">
        <f>TabSpecificationWork_1[[#This Row],[QUANTITY TOTAL]]*TabSpecificationWork_2[[#This Row],[PRICE UNIT $SALE]]</f>
        <v>2295</v>
      </c>
      <c r="J8" s="10">
        <v>0</v>
      </c>
      <c r="K8" s="23">
        <f>(TabSpecificationWork_2[[#This Row],[COST DEAL $SALE]]/100)*TabSpecificationWork_2[[#This Row],[DISCOUNT PERCENT]]</f>
        <v>0</v>
      </c>
      <c r="L8" s="37"/>
      <c r="M8" s="17">
        <f>TabSpecificationWork_2[[#This Row],[PRICE UNIT $SALE]]</f>
        <v>573.75</v>
      </c>
      <c r="N8" s="17">
        <f>TabSpecificationWork_2[[#This Row],[COST DEAL $SALE]]-TabSpecificationWork_2[[#This Row],[DISCOUNT MONEY]]</f>
        <v>2295</v>
      </c>
      <c r="O8" s="37"/>
      <c r="P8" s="12" t="s">
        <v>34</v>
      </c>
      <c r="Q8" s="12" t="s">
        <v>33</v>
      </c>
      <c r="R8" s="37"/>
    </row>
    <row r="9" spans="1:18" ht="28.8" x14ac:dyDescent="0.3">
      <c r="A9" s="20" t="str">
        <v>4.11</v>
      </c>
      <c r="B9" s="9">
        <v>3</v>
      </c>
      <c r="C9" s="9">
        <v>11</v>
      </c>
      <c r="D9" s="20" t="str">
        <v xml:space="preserve">Оптический кросс 19" 1U 16 портов  </v>
      </c>
      <c r="E9" t="str">
        <v>1/2024-n4-горизонт-ver_3-set_4.11-true</v>
      </c>
      <c r="F9" s="14" t="str">
        <f t="shared" si="0"/>
        <v>1/2024-n4-горизонт-ver_3-set_4.11-true</v>
      </c>
      <c r="G9" s="16">
        <v>2</v>
      </c>
      <c r="H9" s="60">
        <f>TabSpecificationWork_2[[#This Row],[COEFFICIENT MARKUP]]*TabSpecificationWork_1[[#This Row],[PRICE UNIT $PURCHASE]]</f>
        <v>5192</v>
      </c>
      <c r="I9" s="61">
        <f>TabSpecificationWork_1[[#This Row],[QUANTITY TOTAL]]*TabSpecificationWork_2[[#This Row],[PRICE UNIT $SALE]]</f>
        <v>5192</v>
      </c>
      <c r="J9" s="10">
        <v>0</v>
      </c>
      <c r="K9" s="23">
        <f>(TabSpecificationWork_2[[#This Row],[COST DEAL $SALE]]/100)*TabSpecificationWork_2[[#This Row],[DISCOUNT PERCENT]]</f>
        <v>0</v>
      </c>
      <c r="L9" s="37"/>
      <c r="M9" s="17">
        <f>TabSpecificationWork_2[[#This Row],[PRICE UNIT $SALE]]</f>
        <v>5192</v>
      </c>
      <c r="N9" s="17">
        <f>TabSpecificationWork_2[[#This Row],[COST DEAL $SALE]]-TabSpecificationWork_2[[#This Row],[DISCOUNT MONEY]]</f>
        <v>5192</v>
      </c>
      <c r="O9" s="37"/>
      <c r="P9" s="12" t="s">
        <v>34</v>
      </c>
      <c r="Q9" s="12" t="s">
        <v>33</v>
      </c>
      <c r="R9" s="37"/>
    </row>
    <row r="10" spans="1:18" ht="72" x14ac:dyDescent="0.3">
      <c r="A10" s="20" t="str">
        <v>6.1</v>
      </c>
      <c r="B10" s="9">
        <v>3</v>
      </c>
      <c r="C10" s="9">
        <v>1</v>
      </c>
      <c r="D10" s="20" t="str">
        <v>Шкаф с оптическим кроссом и встроенным коммутатором уличный, неуправляемый, 2 SFP-слота, РоЕ+</v>
      </c>
      <c r="E10" t="str">
        <v>1/2024-n4-горизонт-ver_3-set_6.1-true</v>
      </c>
      <c r="F10" s="14" t="str">
        <f t="shared" si="0"/>
        <v>1/2024-n4-горизонт-ver_3-set_6.1-true</v>
      </c>
      <c r="G10" s="16">
        <v>2</v>
      </c>
      <c r="H10" s="60">
        <f>TabSpecificationWork_2[[#This Row],[COEFFICIENT MARKUP]]*TabSpecificationWork_1[[#This Row],[PRICE UNIT $PURCHASE]]</f>
        <v>115806</v>
      </c>
      <c r="I10" s="61">
        <f>TabSpecificationWork_1[[#This Row],[QUANTITY TOTAL]]*TabSpecificationWork_2[[#This Row],[PRICE UNIT $SALE]]</f>
        <v>115806</v>
      </c>
      <c r="J10" s="10">
        <v>0</v>
      </c>
      <c r="K10" s="23">
        <f>(TabSpecificationWork_2[[#This Row],[COST DEAL $SALE]]/100)*TabSpecificationWork_2[[#This Row],[DISCOUNT PERCENT]]</f>
        <v>0</v>
      </c>
      <c r="L10" s="37"/>
      <c r="M10" s="17">
        <f>TabSpecificationWork_2[[#This Row],[PRICE UNIT $SALE]]</f>
        <v>115806</v>
      </c>
      <c r="N10" s="17">
        <f>TabSpecificationWork_2[[#This Row],[COST DEAL $SALE]]-TabSpecificationWork_2[[#This Row],[DISCOUNT MONEY]]</f>
        <v>115806</v>
      </c>
      <c r="O10" s="37"/>
      <c r="P10" s="12" t="s">
        <v>34</v>
      </c>
      <c r="Q10" s="12" t="s">
        <v>33</v>
      </c>
      <c r="R10" s="37"/>
    </row>
    <row r="11" spans="1:18" ht="28.8" x14ac:dyDescent="0.3">
      <c r="A11" s="20" t="str">
        <v>7.1</v>
      </c>
      <c r="B11" s="9">
        <v>3</v>
      </c>
      <c r="C11" s="9">
        <v>1</v>
      </c>
      <c r="D11" s="20" t="str">
        <v>Лицензии поддержки службы DPDK NVIDIA</v>
      </c>
      <c r="E11" t="str">
        <v>1/2024-n4-горизонт-ver_3-set_7.1-true</v>
      </c>
      <c r="F11" s="14" t="str">
        <f t="shared" si="0"/>
        <v>1/2024-n4-горизонт-ver_3-set_7.1-true</v>
      </c>
      <c r="G11" s="16">
        <v>3</v>
      </c>
      <c r="H11" s="60">
        <f>TabSpecificationWork_2[[#This Row],[COEFFICIENT MARKUP]]*TabSpecificationWork_1[[#This Row],[PRICE UNIT $PURCHASE]]</f>
        <v>41340</v>
      </c>
      <c r="I11" s="61">
        <f>TabSpecificationWork_1[[#This Row],[QUANTITY TOTAL]]*TabSpecificationWork_2[[#This Row],[PRICE UNIT $SALE]]</f>
        <v>124020</v>
      </c>
      <c r="J11" s="10">
        <v>0</v>
      </c>
      <c r="K11" s="23">
        <f>(TabSpecificationWork_2[[#This Row],[COST DEAL $SALE]]/100)*TabSpecificationWork_2[[#This Row],[DISCOUNT PERCENT]]</f>
        <v>0</v>
      </c>
      <c r="L11" s="37"/>
      <c r="M11" s="17">
        <f>TabSpecificationWork_2[[#This Row],[PRICE UNIT $SALE]]</f>
        <v>41340</v>
      </c>
      <c r="N11" s="17">
        <f>TabSpecificationWork_2[[#This Row],[COST DEAL $SALE]]-TabSpecificationWork_2[[#This Row],[DISCOUNT MONEY]]</f>
        <v>124020</v>
      </c>
      <c r="O11" s="37"/>
      <c r="P11" s="12" t="s">
        <v>34</v>
      </c>
      <c r="Q11" s="12" t="s">
        <v>33</v>
      </c>
      <c r="R11" s="37"/>
    </row>
    <row r="12" spans="1:18" ht="28.8" x14ac:dyDescent="0.3">
      <c r="A12" s="20" t="str">
        <v>4.12</v>
      </c>
      <c r="B12" s="9">
        <v>3</v>
      </c>
      <c r="C12" s="9">
        <v>12</v>
      </c>
      <c r="D12" s="20" t="str">
        <v>Патч-корд оптический FC-LC-SM duplex</v>
      </c>
      <c r="E12" t="str">
        <v>1/2024-n4-горизонт-ver_3-set_4.12-true</v>
      </c>
      <c r="F12" s="14" t="str">
        <f t="shared" si="0"/>
        <v>1/2024-n4-горизонт-ver_3-set_4.12-true</v>
      </c>
      <c r="G12" s="16">
        <v>1.35</v>
      </c>
      <c r="H12" s="60">
        <f>TabSpecificationWork_2[[#This Row],[COEFFICIENT MARKUP]]*TabSpecificationWork_1[[#This Row],[PRICE UNIT $PURCHASE]]</f>
        <v>1092.1500000000001</v>
      </c>
      <c r="I12" s="61">
        <f>TabSpecificationWork_1[[#This Row],[QUANTITY TOTAL]]*TabSpecificationWork_2[[#This Row],[PRICE UNIT $SALE]]</f>
        <v>21843</v>
      </c>
      <c r="J12" s="10">
        <v>0</v>
      </c>
      <c r="K12" s="23">
        <f>(TabSpecificationWork_2[[#This Row],[COST DEAL $SALE]]/100)*TabSpecificationWork_2[[#This Row],[DISCOUNT PERCENT]]</f>
        <v>0</v>
      </c>
      <c r="L12" s="37"/>
      <c r="M12" s="17">
        <f>TabSpecificationWork_2[[#This Row],[PRICE UNIT $SALE]]</f>
        <v>1092.1500000000001</v>
      </c>
      <c r="N12" s="17">
        <f>TabSpecificationWork_2[[#This Row],[COST DEAL $SALE]]-TabSpecificationWork_2[[#This Row],[DISCOUNT MONEY]]</f>
        <v>21843</v>
      </c>
      <c r="O12" s="37"/>
      <c r="P12" s="12" t="s">
        <v>34</v>
      </c>
      <c r="Q12" s="12" t="s">
        <v>33</v>
      </c>
      <c r="R12" s="37"/>
    </row>
  </sheetData>
  <protectedRanges>
    <protectedRange algorithmName="SHA-512" hashValue="ClrlULK2rSOnWAW8ESQdR0iexPhR1fvgw1b4VdzkI7+WxUstHdimQPQmGWzIrHMbKjcmExZVhYnBnmivRBHq/A==" saltValue="HinO+kCkV4wHuu0/nS5IsQ==" spinCount="100000" sqref="A1:D1048576" name="SpecificationWork_1_segment" securityDescriptor="O:WDG:WDD:(A;;CC;;;S-1-5-21-1937151985-3284409454-3114792232-1001)"/>
  </protectedRanges>
  <autoFilter ref="A1:D5" xr:uid="{8BE1788F-427C-4C8A-973B-3BED45D75508}"/>
  <conditionalFormatting sqref="F2:F12">
    <cfRule type="notContainsBlanks" dxfId="45" priority="7">
      <formula>LEN(TRIM(F2))&gt;0</formula>
    </cfRule>
  </conditionalFormatting>
  <conditionalFormatting sqref="H2:H12">
    <cfRule type="notContainsBlanks" dxfId="44" priority="6">
      <formula>LEN(TRIM(H2))&gt;0</formula>
    </cfRule>
  </conditionalFormatting>
  <conditionalFormatting sqref="I2:I12">
    <cfRule type="notContainsBlanks" dxfId="43" priority="5">
      <formula>LEN(TRIM(I2))&gt;0</formula>
    </cfRule>
  </conditionalFormatting>
  <conditionalFormatting sqref="K2:K12">
    <cfRule type="notContainsBlanks" dxfId="42" priority="4">
      <formula>LEN(TRIM(K2))&gt;0</formula>
    </cfRule>
  </conditionalFormatting>
  <conditionalFormatting sqref="M2:M12">
    <cfRule type="notContainsBlanks" dxfId="41" priority="3">
      <formula>LEN(TRIM(M2))&gt;0</formula>
    </cfRule>
  </conditionalFormatting>
  <conditionalFormatting sqref="N2:N12">
    <cfRule type="notContainsBlanks" dxfId="40" priority="2">
      <formula>LEN(TRIM(N2))&gt;0</formula>
    </cfRule>
  </conditionalFormatting>
  <conditionalFormatting sqref="Q2:Q12">
    <cfRule type="expression" dxfId="39" priority="1">
      <formula>IF($Q2="true",1,0)</formula>
    </cfRule>
  </conditionalFormatting>
  <dataValidations count="2">
    <dataValidation type="list" showInputMessage="1" showErrorMessage="1" sqref="Q2:Q12" xr:uid="{0140C6BC-EE55-4B04-856D-84DE8E6BB8E2}">
      <formula1>"false,true,"</formula1>
    </dataValidation>
    <dataValidation type="list" showInputMessage="1" showErrorMessage="1" sqref="P2:P12" xr:uid="{AE30E414-4F03-4AC9-8B9A-9DAE797387C1}">
      <formula1>"true,false,"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E25D-D713-49D5-8F1A-D26EFDD05A32}">
  <dimension ref="A1:AC31"/>
  <sheetViews>
    <sheetView zoomScale="115" zoomScaleNormal="115" workbookViewId="0">
      <selection activeCell="C12" sqref="C12"/>
    </sheetView>
  </sheetViews>
  <sheetFormatPr defaultRowHeight="14.4" x14ac:dyDescent="0.3"/>
  <cols>
    <col min="1" max="1" width="39.6640625" style="20" customWidth="1"/>
    <col min="2" max="2" width="28.6640625" customWidth="1"/>
    <col min="3" max="3" width="18.109375" customWidth="1"/>
    <col min="4" max="4" width="15.33203125" style="62" customWidth="1"/>
    <col min="5" max="6" width="11.33203125" bestFit="1" customWidth="1"/>
    <col min="7" max="7" width="33.109375" bestFit="1" customWidth="1"/>
    <col min="8" max="8" width="8.33203125" bestFit="1" customWidth="1"/>
    <col min="9" max="9" width="21.6640625" bestFit="1" customWidth="1"/>
    <col min="10" max="10" width="33.88671875" bestFit="1" customWidth="1"/>
    <col min="11" max="11" width="43.109375" bestFit="1" customWidth="1"/>
    <col min="12" max="12" width="42.6640625" bestFit="1" customWidth="1"/>
    <col min="13" max="13" width="37.33203125" bestFit="1" customWidth="1"/>
    <col min="14" max="14" width="38.44140625" bestFit="1" customWidth="1"/>
    <col min="15" max="15" width="34.6640625" bestFit="1" customWidth="1"/>
    <col min="16" max="16" width="42.6640625" bestFit="1" customWidth="1"/>
    <col min="17" max="17" width="37.33203125" bestFit="1" customWidth="1"/>
    <col min="18" max="18" width="38.44140625" bestFit="1" customWidth="1"/>
    <col min="19" max="19" width="34.6640625" bestFit="1" customWidth="1"/>
    <col min="20" max="20" width="42.6640625" bestFit="1" customWidth="1"/>
    <col min="21" max="21" width="37.33203125" bestFit="1" customWidth="1"/>
    <col min="22" max="22" width="38.44140625" bestFit="1" customWidth="1"/>
    <col min="23" max="23" width="34.6640625" bestFit="1" customWidth="1"/>
    <col min="24" max="24" width="42.6640625" bestFit="1" customWidth="1"/>
    <col min="25" max="25" width="37.33203125" bestFit="1" customWidth="1"/>
    <col min="26" max="26" width="38.44140625" bestFit="1" customWidth="1"/>
    <col min="27" max="27" width="34.6640625" bestFit="1" customWidth="1"/>
    <col min="28" max="28" width="42.6640625" bestFit="1" customWidth="1"/>
    <col min="29" max="29" width="37.33203125" bestFit="1" customWidth="1"/>
  </cols>
  <sheetData>
    <row r="1" spans="1:29" x14ac:dyDescent="0.3">
      <c r="A1"/>
    </row>
    <row r="2" spans="1:29" ht="24" customHeight="1" x14ac:dyDescent="0.3">
      <c r="A2" s="57" t="s">
        <v>232</v>
      </c>
      <c r="B2" t="s" vm="1">
        <v>416</v>
      </c>
    </row>
    <row r="3" spans="1:29" s="1" customFormat="1" ht="27" customHeight="1" x14ac:dyDescent="0.3">
      <c r="A3" s="24" t="s">
        <v>496</v>
      </c>
      <c r="B3" t="s" vm="2">
        <v>416</v>
      </c>
      <c r="C3"/>
      <c r="D3"/>
      <c r="E3"/>
      <c r="F3"/>
      <c r="G3"/>
      <c r="H3"/>
      <c r="I3"/>
      <c r="J3"/>
      <c r="K3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x14ac:dyDescent="0.3">
      <c r="A4"/>
      <c r="D4"/>
    </row>
    <row r="5" spans="1:29" ht="28.8" x14ac:dyDescent="0.3">
      <c r="A5" s="58" t="s">
        <v>491</v>
      </c>
      <c r="B5" s="13" t="s">
        <v>244</v>
      </c>
      <c r="C5" s="26" t="s">
        <v>247</v>
      </c>
      <c r="D5" s="1" t="s">
        <v>209</v>
      </c>
    </row>
    <row r="6" spans="1:29" ht="28.8" x14ac:dyDescent="0.3">
      <c r="A6" s="20" t="s">
        <v>486</v>
      </c>
      <c r="B6" s="65"/>
      <c r="C6" s="26"/>
      <c r="D6" s="64"/>
    </row>
    <row r="7" spans="1:29" x14ac:dyDescent="0.3">
      <c r="A7" s="20" t="s">
        <v>432</v>
      </c>
      <c r="B7" s="65">
        <v>1</v>
      </c>
      <c r="C7" s="26">
        <v>16000</v>
      </c>
      <c r="D7" s="64">
        <v>60320</v>
      </c>
    </row>
    <row r="8" spans="1:29" ht="28.8" x14ac:dyDescent="0.3">
      <c r="A8" s="20" t="s">
        <v>489</v>
      </c>
      <c r="B8" s="65"/>
      <c r="C8" s="26"/>
      <c r="D8" s="64"/>
    </row>
    <row r="9" spans="1:29" ht="43.2" x14ac:dyDescent="0.3">
      <c r="A9" s="20" t="s">
        <v>448</v>
      </c>
      <c r="B9" s="65">
        <v>1</v>
      </c>
      <c r="C9" s="26">
        <v>57903</v>
      </c>
      <c r="D9" s="64">
        <v>115806</v>
      </c>
    </row>
    <row r="10" spans="1:29" ht="28.8" x14ac:dyDescent="0.3">
      <c r="A10" s="20" t="s">
        <v>490</v>
      </c>
      <c r="B10" s="65"/>
      <c r="C10" s="26"/>
      <c r="D10" s="64"/>
    </row>
    <row r="11" spans="1:29" x14ac:dyDescent="0.3">
      <c r="A11" s="20" t="s">
        <v>434</v>
      </c>
      <c r="B11" s="65">
        <v>8</v>
      </c>
      <c r="C11" s="26">
        <v>30080</v>
      </c>
      <c r="D11" s="64">
        <v>33088</v>
      </c>
    </row>
    <row r="12" spans="1:29" x14ac:dyDescent="0.3">
      <c r="A12" s="20" t="s">
        <v>436</v>
      </c>
      <c r="B12" s="65">
        <v>4</v>
      </c>
      <c r="C12" s="26">
        <v>9800</v>
      </c>
      <c r="D12" s="64">
        <v>10780</v>
      </c>
    </row>
    <row r="13" spans="1:29" ht="28.8" x14ac:dyDescent="0.3">
      <c r="A13" s="20" t="s">
        <v>488</v>
      </c>
      <c r="B13" s="65"/>
      <c r="C13" s="26"/>
      <c r="D13" s="64"/>
    </row>
    <row r="14" spans="1:29" x14ac:dyDescent="0.3">
      <c r="A14" s="20" t="s">
        <v>487</v>
      </c>
      <c r="B14" s="65">
        <v>1</v>
      </c>
      <c r="C14" s="26">
        <v>2596</v>
      </c>
      <c r="D14" s="64">
        <v>5192</v>
      </c>
    </row>
    <row r="15" spans="1:29" x14ac:dyDescent="0.3">
      <c r="A15" s="63" t="s">
        <v>442</v>
      </c>
      <c r="B15" s="65">
        <v>4</v>
      </c>
      <c r="C15" s="26">
        <v>1880</v>
      </c>
      <c r="D15" s="64">
        <v>2538</v>
      </c>
    </row>
    <row r="16" spans="1:29" x14ac:dyDescent="0.3">
      <c r="A16" s="63" t="s">
        <v>440</v>
      </c>
      <c r="B16" s="65">
        <v>4</v>
      </c>
      <c r="C16" s="26">
        <v>2596</v>
      </c>
      <c r="D16" s="64">
        <v>3504.6000000000004</v>
      </c>
    </row>
    <row r="17" spans="1:4" x14ac:dyDescent="0.3">
      <c r="A17" s="63" t="s">
        <v>444</v>
      </c>
      <c r="B17" s="65">
        <v>4</v>
      </c>
      <c r="C17" s="26">
        <v>1700</v>
      </c>
      <c r="D17" s="64">
        <v>2295</v>
      </c>
    </row>
    <row r="18" spans="1:4" x14ac:dyDescent="0.3">
      <c r="A18" s="20" t="s">
        <v>453</v>
      </c>
      <c r="B18" s="65">
        <v>20</v>
      </c>
      <c r="C18" s="26">
        <v>16180</v>
      </c>
      <c r="D18" s="64">
        <v>21843</v>
      </c>
    </row>
    <row r="19" spans="1:4" x14ac:dyDescent="0.3">
      <c r="A19" s="63" t="s">
        <v>438</v>
      </c>
      <c r="B19" s="65">
        <v>22</v>
      </c>
      <c r="C19" s="26">
        <v>13530</v>
      </c>
      <c r="D19" s="64">
        <v>18265.5</v>
      </c>
    </row>
    <row r="20" spans="1:4" ht="28.8" x14ac:dyDescent="0.3">
      <c r="A20" s="20" t="s">
        <v>450</v>
      </c>
      <c r="B20" s="65"/>
      <c r="C20" s="26"/>
      <c r="D20" s="64"/>
    </row>
    <row r="21" spans="1:4" ht="28.8" x14ac:dyDescent="0.3">
      <c r="A21" s="20" t="s">
        <v>451</v>
      </c>
      <c r="B21" s="65">
        <v>3</v>
      </c>
      <c r="C21" s="26">
        <v>41340</v>
      </c>
      <c r="D21" s="64">
        <v>124020</v>
      </c>
    </row>
    <row r="22" spans="1:4" x14ac:dyDescent="0.3">
      <c r="A22" s="20" t="s">
        <v>414</v>
      </c>
      <c r="B22" s="65">
        <v>22</v>
      </c>
      <c r="C22" s="26">
        <v>193605</v>
      </c>
      <c r="D22" s="59">
        <v>397652.1</v>
      </c>
    </row>
    <row r="23" spans="1:4" x14ac:dyDescent="0.3">
      <c r="A23"/>
    </row>
    <row r="24" spans="1:4" x14ac:dyDescent="0.3">
      <c r="A24"/>
    </row>
    <row r="25" spans="1:4" x14ac:dyDescent="0.3">
      <c r="A25"/>
    </row>
    <row r="26" spans="1:4" x14ac:dyDescent="0.3">
      <c r="A26"/>
    </row>
    <row r="27" spans="1:4" x14ac:dyDescent="0.3">
      <c r="A27"/>
    </row>
    <row r="28" spans="1:4" x14ac:dyDescent="0.3">
      <c r="A28"/>
    </row>
    <row r="29" spans="1:4" x14ac:dyDescent="0.3">
      <c r="A29"/>
    </row>
    <row r="30" spans="1:4" x14ac:dyDescent="0.3">
      <c r="A30"/>
    </row>
    <row r="31" spans="1:4" x14ac:dyDescent="0.3">
      <c r="A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9DA0-9075-4AA6-984B-E5E2F807A8AE}">
  <dimension ref="A1:B119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1.109375" bestFit="1" customWidth="1"/>
    <col min="2" max="2" width="41" bestFit="1" customWidth="1"/>
  </cols>
  <sheetData>
    <row r="1" spans="1:2" x14ac:dyDescent="0.3">
      <c r="A1" s="1" t="s">
        <v>3</v>
      </c>
      <c r="B1" s="1" t="s">
        <v>303</v>
      </c>
    </row>
    <row r="2" spans="1:2" x14ac:dyDescent="0.3">
      <c r="A2" s="10">
        <v>251</v>
      </c>
      <c r="B2" s="15" t="s">
        <v>304</v>
      </c>
    </row>
    <row r="3" spans="1:2" x14ac:dyDescent="0.3">
      <c r="A3" s="10">
        <v>252</v>
      </c>
      <c r="B3" s="15" t="s">
        <v>305</v>
      </c>
    </row>
    <row r="4" spans="1:2" x14ac:dyDescent="0.3">
      <c r="A4" s="10">
        <v>253</v>
      </c>
      <c r="B4" s="15" t="s">
        <v>306</v>
      </c>
    </row>
    <row r="5" spans="1:2" x14ac:dyDescent="0.3">
      <c r="A5" s="10">
        <v>254</v>
      </c>
      <c r="B5" s="15" t="s">
        <v>307</v>
      </c>
    </row>
    <row r="6" spans="1:2" x14ac:dyDescent="0.3">
      <c r="A6" s="10">
        <v>255</v>
      </c>
      <c r="B6" s="15" t="s">
        <v>308</v>
      </c>
    </row>
    <row r="7" spans="1:2" x14ac:dyDescent="0.3">
      <c r="A7" s="10">
        <v>256</v>
      </c>
      <c r="B7" s="15" t="s">
        <v>309</v>
      </c>
    </row>
    <row r="8" spans="1:2" x14ac:dyDescent="0.3">
      <c r="A8" s="10">
        <v>257</v>
      </c>
      <c r="B8" s="15" t="s">
        <v>310</v>
      </c>
    </row>
    <row r="9" spans="1:2" x14ac:dyDescent="0.3">
      <c r="A9" s="10">
        <v>258</v>
      </c>
      <c r="B9" s="15" t="s">
        <v>311</v>
      </c>
    </row>
    <row r="10" spans="1:2" x14ac:dyDescent="0.3">
      <c r="A10" s="10">
        <v>259</v>
      </c>
      <c r="B10" s="15" t="s">
        <v>312</v>
      </c>
    </row>
    <row r="11" spans="1:2" x14ac:dyDescent="0.3">
      <c r="A11" s="10">
        <v>260</v>
      </c>
      <c r="B11" s="15" t="s">
        <v>313</v>
      </c>
    </row>
    <row r="12" spans="1:2" x14ac:dyDescent="0.3">
      <c r="A12" s="10">
        <v>261</v>
      </c>
      <c r="B12" s="15" t="s">
        <v>314</v>
      </c>
    </row>
    <row r="13" spans="1:2" x14ac:dyDescent="0.3">
      <c r="A13" s="10">
        <v>262</v>
      </c>
      <c r="B13" s="15" t="s">
        <v>315</v>
      </c>
    </row>
    <row r="14" spans="1:2" x14ac:dyDescent="0.3">
      <c r="A14" s="10">
        <v>263</v>
      </c>
      <c r="B14" s="15" t="s">
        <v>316</v>
      </c>
    </row>
    <row r="15" spans="1:2" x14ac:dyDescent="0.3">
      <c r="A15" s="10">
        <v>264</v>
      </c>
      <c r="B15" s="15" t="s">
        <v>317</v>
      </c>
    </row>
    <row r="16" spans="1:2" x14ac:dyDescent="0.3">
      <c r="A16" s="10">
        <v>265</v>
      </c>
      <c r="B16" s="15" t="s">
        <v>318</v>
      </c>
    </row>
    <row r="17" spans="1:2" x14ac:dyDescent="0.3">
      <c r="A17" s="10">
        <v>266</v>
      </c>
      <c r="B17" s="15" t="s">
        <v>319</v>
      </c>
    </row>
    <row r="18" spans="1:2" x14ac:dyDescent="0.3">
      <c r="A18" s="10">
        <v>267</v>
      </c>
      <c r="B18" s="15" t="s">
        <v>320</v>
      </c>
    </row>
    <row r="19" spans="1:2" x14ac:dyDescent="0.3">
      <c r="A19" s="10">
        <v>268</v>
      </c>
      <c r="B19" s="15" t="s">
        <v>321</v>
      </c>
    </row>
    <row r="20" spans="1:2" x14ac:dyDescent="0.3">
      <c r="A20" s="10">
        <v>269</v>
      </c>
      <c r="B20" s="15" t="s">
        <v>322</v>
      </c>
    </row>
    <row r="21" spans="1:2" x14ac:dyDescent="0.3">
      <c r="A21" s="10">
        <v>270</v>
      </c>
      <c r="B21" s="15" t="s">
        <v>323</v>
      </c>
    </row>
    <row r="22" spans="1:2" x14ac:dyDescent="0.3">
      <c r="A22" s="10">
        <v>271</v>
      </c>
      <c r="B22" s="15" t="s">
        <v>324</v>
      </c>
    </row>
    <row r="23" spans="1:2" x14ac:dyDescent="0.3">
      <c r="A23" s="10">
        <v>282</v>
      </c>
      <c r="B23" s="15" t="s">
        <v>325</v>
      </c>
    </row>
    <row r="24" spans="1:2" x14ac:dyDescent="0.3">
      <c r="A24" s="10">
        <v>320</v>
      </c>
      <c r="B24" s="15" t="s">
        <v>326</v>
      </c>
    </row>
    <row r="25" spans="1:2" x14ac:dyDescent="0.3">
      <c r="A25" s="10">
        <v>321</v>
      </c>
      <c r="B25" s="15" t="s">
        <v>327</v>
      </c>
    </row>
    <row r="26" spans="1:2" x14ac:dyDescent="0.3">
      <c r="A26" s="10">
        <v>325</v>
      </c>
      <c r="B26" s="15" t="s">
        <v>328</v>
      </c>
    </row>
    <row r="27" spans="1:2" x14ac:dyDescent="0.3">
      <c r="A27" s="10">
        <v>326</v>
      </c>
      <c r="B27" s="15" t="s">
        <v>329</v>
      </c>
    </row>
    <row r="28" spans="1:2" x14ac:dyDescent="0.3">
      <c r="A28" s="10">
        <v>272</v>
      </c>
      <c r="B28" s="15" t="s">
        <v>330</v>
      </c>
    </row>
    <row r="29" spans="1:2" x14ac:dyDescent="0.3">
      <c r="A29" s="10">
        <v>273</v>
      </c>
      <c r="B29" s="15" t="s">
        <v>331</v>
      </c>
    </row>
    <row r="30" spans="1:2" x14ac:dyDescent="0.3">
      <c r="A30" s="10">
        <v>274</v>
      </c>
      <c r="B30" s="15" t="s">
        <v>332</v>
      </c>
    </row>
    <row r="31" spans="1:2" x14ac:dyDescent="0.3">
      <c r="A31" s="10">
        <v>275</v>
      </c>
      <c r="B31" s="15" t="s">
        <v>333</v>
      </c>
    </row>
    <row r="32" spans="1:2" x14ac:dyDescent="0.3">
      <c r="A32" s="10">
        <v>276</v>
      </c>
      <c r="B32" s="15" t="s">
        <v>334</v>
      </c>
    </row>
    <row r="33" spans="1:2" x14ac:dyDescent="0.3">
      <c r="A33" s="10">
        <v>277</v>
      </c>
      <c r="B33" s="15" t="s">
        <v>335</v>
      </c>
    </row>
    <row r="34" spans="1:2" x14ac:dyDescent="0.3">
      <c r="A34" s="10">
        <v>278</v>
      </c>
      <c r="B34" s="15" t="s">
        <v>336</v>
      </c>
    </row>
    <row r="35" spans="1:2" x14ac:dyDescent="0.3">
      <c r="A35" s="10">
        <v>279</v>
      </c>
      <c r="B35" s="15" t="s">
        <v>397</v>
      </c>
    </row>
    <row r="36" spans="1:2" x14ac:dyDescent="0.3">
      <c r="A36" s="10">
        <v>280</v>
      </c>
      <c r="B36" s="15" t="s">
        <v>398</v>
      </c>
    </row>
    <row r="37" spans="1:2" x14ac:dyDescent="0.3">
      <c r="A37" s="10">
        <v>281</v>
      </c>
      <c r="B37" s="15" t="s">
        <v>337</v>
      </c>
    </row>
    <row r="38" spans="1:2" x14ac:dyDescent="0.3">
      <c r="A38" s="10">
        <v>283</v>
      </c>
      <c r="B38" s="15" t="s">
        <v>338</v>
      </c>
    </row>
    <row r="39" spans="1:2" x14ac:dyDescent="0.3">
      <c r="A39" s="10">
        <v>322</v>
      </c>
      <c r="B39" s="15" t="s">
        <v>339</v>
      </c>
    </row>
    <row r="40" spans="1:2" x14ac:dyDescent="0.3">
      <c r="A40" s="10">
        <v>284</v>
      </c>
      <c r="B40" s="15" t="s">
        <v>340</v>
      </c>
    </row>
    <row r="41" spans="1:2" x14ac:dyDescent="0.3">
      <c r="A41" s="10">
        <v>285</v>
      </c>
      <c r="B41" s="15" t="s">
        <v>341</v>
      </c>
    </row>
    <row r="42" spans="1:2" x14ac:dyDescent="0.3">
      <c r="A42" s="10">
        <v>286</v>
      </c>
      <c r="B42" s="15" t="s">
        <v>342</v>
      </c>
    </row>
    <row r="43" spans="1:2" x14ac:dyDescent="0.3">
      <c r="A43" s="10">
        <v>287</v>
      </c>
      <c r="B43" s="15" t="s">
        <v>343</v>
      </c>
    </row>
    <row r="44" spans="1:2" x14ac:dyDescent="0.3">
      <c r="A44" s="10">
        <v>293</v>
      </c>
      <c r="B44" s="15" t="s">
        <v>349</v>
      </c>
    </row>
    <row r="45" spans="1:2" x14ac:dyDescent="0.3">
      <c r="A45" s="10">
        <v>289</v>
      </c>
      <c r="B45" s="15" t="s">
        <v>345</v>
      </c>
    </row>
    <row r="46" spans="1:2" x14ac:dyDescent="0.3">
      <c r="A46" s="10">
        <v>290</v>
      </c>
      <c r="B46" s="15" t="s">
        <v>346</v>
      </c>
    </row>
    <row r="47" spans="1:2" x14ac:dyDescent="0.3">
      <c r="A47" s="10">
        <v>291</v>
      </c>
      <c r="B47" s="15" t="s">
        <v>347</v>
      </c>
    </row>
    <row r="48" spans="1:2" x14ac:dyDescent="0.3">
      <c r="A48" s="10">
        <v>292</v>
      </c>
      <c r="B48" s="15" t="s">
        <v>348</v>
      </c>
    </row>
    <row r="49" spans="1:2" x14ac:dyDescent="0.3">
      <c r="A49" s="10">
        <v>294</v>
      </c>
      <c r="B49" s="15" t="s">
        <v>344</v>
      </c>
    </row>
    <row r="50" spans="1:2" x14ac:dyDescent="0.3">
      <c r="A50" s="10">
        <v>295</v>
      </c>
      <c r="B50" s="15" t="s">
        <v>350</v>
      </c>
    </row>
    <row r="51" spans="1:2" x14ac:dyDescent="0.3">
      <c r="A51" s="10">
        <v>296</v>
      </c>
      <c r="B51" s="15" t="s">
        <v>351</v>
      </c>
    </row>
    <row r="52" spans="1:2" x14ac:dyDescent="0.3">
      <c r="A52" s="10">
        <v>297</v>
      </c>
      <c r="B52" s="15" t="s">
        <v>352</v>
      </c>
    </row>
    <row r="53" spans="1:2" x14ac:dyDescent="0.3">
      <c r="A53" s="10">
        <v>298</v>
      </c>
      <c r="B53" s="15" t="s">
        <v>353</v>
      </c>
    </row>
    <row r="54" spans="1:2" x14ac:dyDescent="0.3">
      <c r="A54" s="10">
        <v>299</v>
      </c>
      <c r="B54" s="15" t="s">
        <v>354</v>
      </c>
    </row>
    <row r="55" spans="1:2" x14ac:dyDescent="0.3">
      <c r="A55" s="10">
        <v>300</v>
      </c>
      <c r="B55" s="15" t="s">
        <v>421</v>
      </c>
    </row>
    <row r="56" spans="1:2" x14ac:dyDescent="0.3">
      <c r="A56" s="10">
        <v>301</v>
      </c>
      <c r="B56" s="15" t="s">
        <v>355</v>
      </c>
    </row>
    <row r="57" spans="1:2" x14ac:dyDescent="0.3">
      <c r="A57" s="10">
        <v>302</v>
      </c>
      <c r="B57" s="15" t="s">
        <v>356</v>
      </c>
    </row>
    <row r="58" spans="1:2" x14ac:dyDescent="0.3">
      <c r="A58" s="10">
        <v>303</v>
      </c>
      <c r="B58" s="15" t="s">
        <v>357</v>
      </c>
    </row>
    <row r="59" spans="1:2" x14ac:dyDescent="0.3">
      <c r="A59" s="10">
        <v>304</v>
      </c>
      <c r="B59" s="15" t="s">
        <v>358</v>
      </c>
    </row>
    <row r="60" spans="1:2" x14ac:dyDescent="0.3">
      <c r="A60" s="10">
        <v>305</v>
      </c>
      <c r="B60" s="15" t="s">
        <v>359</v>
      </c>
    </row>
    <row r="61" spans="1:2" x14ac:dyDescent="0.3">
      <c r="A61" s="10">
        <v>306</v>
      </c>
      <c r="B61" s="15" t="s">
        <v>360</v>
      </c>
    </row>
    <row r="62" spans="1:2" x14ac:dyDescent="0.3">
      <c r="A62" s="10">
        <v>307</v>
      </c>
      <c r="B62" s="15" t="s">
        <v>361</v>
      </c>
    </row>
    <row r="63" spans="1:2" x14ac:dyDescent="0.3">
      <c r="A63" s="10">
        <v>308</v>
      </c>
      <c r="B63" s="15" t="s">
        <v>362</v>
      </c>
    </row>
    <row r="64" spans="1:2" x14ac:dyDescent="0.3">
      <c r="A64" s="10">
        <v>309</v>
      </c>
      <c r="B64" s="15" t="s">
        <v>363</v>
      </c>
    </row>
    <row r="65" spans="1:2" x14ac:dyDescent="0.3">
      <c r="A65" s="10">
        <v>310</v>
      </c>
      <c r="B65" s="15" t="s">
        <v>364</v>
      </c>
    </row>
    <row r="66" spans="1:2" x14ac:dyDescent="0.3">
      <c r="A66" s="10">
        <v>311</v>
      </c>
      <c r="B66" s="15" t="s">
        <v>365</v>
      </c>
    </row>
    <row r="67" spans="1:2" x14ac:dyDescent="0.3">
      <c r="A67" s="10">
        <v>312</v>
      </c>
      <c r="B67" s="15" t="s">
        <v>366</v>
      </c>
    </row>
    <row r="68" spans="1:2" x14ac:dyDescent="0.3">
      <c r="A68" s="10">
        <v>313</v>
      </c>
      <c r="B68" s="15" t="s">
        <v>367</v>
      </c>
    </row>
    <row r="69" spans="1:2" x14ac:dyDescent="0.3">
      <c r="A69" s="10">
        <v>316</v>
      </c>
      <c r="B69" s="15" t="s">
        <v>368</v>
      </c>
    </row>
    <row r="70" spans="1:2" x14ac:dyDescent="0.3">
      <c r="A70" s="10">
        <v>321</v>
      </c>
      <c r="B70" s="15" t="s">
        <v>369</v>
      </c>
    </row>
    <row r="71" spans="1:2" x14ac:dyDescent="0.3">
      <c r="A71" s="10">
        <v>317</v>
      </c>
      <c r="B71" s="15" t="s">
        <v>370</v>
      </c>
    </row>
    <row r="72" spans="1:2" x14ac:dyDescent="0.3">
      <c r="A72" s="10">
        <v>328</v>
      </c>
      <c r="B72" s="15" t="s">
        <v>399</v>
      </c>
    </row>
    <row r="73" spans="1:2" x14ac:dyDescent="0.3">
      <c r="A73" s="10">
        <v>318</v>
      </c>
      <c r="B73" s="15" t="s">
        <v>371</v>
      </c>
    </row>
    <row r="74" spans="1:2" x14ac:dyDescent="0.3">
      <c r="A74" s="10">
        <v>319</v>
      </c>
      <c r="B74" s="15" t="s">
        <v>373</v>
      </c>
    </row>
    <row r="75" spans="1:2" x14ac:dyDescent="0.3">
      <c r="A75" s="10">
        <v>324</v>
      </c>
      <c r="B75" s="15" t="s">
        <v>374</v>
      </c>
    </row>
    <row r="76" spans="1:2" x14ac:dyDescent="0.3">
      <c r="A76" s="10">
        <v>288</v>
      </c>
      <c r="B76" s="15" t="s">
        <v>375</v>
      </c>
    </row>
    <row r="77" spans="1:2" x14ac:dyDescent="0.3">
      <c r="A77" s="10">
        <v>323</v>
      </c>
      <c r="B77" s="15" t="s">
        <v>396</v>
      </c>
    </row>
    <row r="78" spans="1:2" x14ac:dyDescent="0.3">
      <c r="A78" s="10">
        <v>327</v>
      </c>
      <c r="B78" s="15" t="s">
        <v>364</v>
      </c>
    </row>
    <row r="79" spans="1:2" x14ac:dyDescent="0.3">
      <c r="A79" s="10">
        <v>328</v>
      </c>
      <c r="B79" s="15" t="s">
        <v>376</v>
      </c>
    </row>
    <row r="80" spans="1:2" x14ac:dyDescent="0.3">
      <c r="A80" s="10">
        <v>322</v>
      </c>
      <c r="B80" s="15" t="s">
        <v>418</v>
      </c>
    </row>
    <row r="81" spans="1:2" x14ac:dyDescent="0.3">
      <c r="A81" s="10">
        <v>329</v>
      </c>
      <c r="B81" s="15" t="s">
        <v>400</v>
      </c>
    </row>
    <row r="82" spans="1:2" x14ac:dyDescent="0.3">
      <c r="A82" s="10">
        <v>330</v>
      </c>
      <c r="B82" s="15" t="s">
        <v>372</v>
      </c>
    </row>
    <row r="83" spans="1:2" x14ac:dyDescent="0.3">
      <c r="A83" s="10">
        <v>331</v>
      </c>
      <c r="B83" s="15" t="s">
        <v>377</v>
      </c>
    </row>
    <row r="84" spans="1:2" x14ac:dyDescent="0.3">
      <c r="A84" s="10">
        <v>345</v>
      </c>
      <c r="B84" s="15" t="s">
        <v>388</v>
      </c>
    </row>
    <row r="85" spans="1:2" x14ac:dyDescent="0.3">
      <c r="A85" s="10">
        <v>332</v>
      </c>
      <c r="B85" s="15" t="s">
        <v>378</v>
      </c>
    </row>
    <row r="86" spans="1:2" x14ac:dyDescent="0.3">
      <c r="A86" s="10">
        <v>343</v>
      </c>
      <c r="B86" s="15" t="s">
        <v>387</v>
      </c>
    </row>
    <row r="87" spans="1:2" x14ac:dyDescent="0.3">
      <c r="A87" s="10">
        <v>333</v>
      </c>
      <c r="B87" s="15" t="s">
        <v>379</v>
      </c>
    </row>
    <row r="88" spans="1:2" x14ac:dyDescent="0.3">
      <c r="A88" s="10">
        <v>334</v>
      </c>
      <c r="B88" s="15" t="s">
        <v>380</v>
      </c>
    </row>
    <row r="89" spans="1:2" x14ac:dyDescent="0.3">
      <c r="A89" s="10">
        <v>335</v>
      </c>
      <c r="B89" s="15" t="s">
        <v>381</v>
      </c>
    </row>
    <row r="90" spans="1:2" x14ac:dyDescent="0.3">
      <c r="A90" s="10">
        <v>336</v>
      </c>
      <c r="B90" s="15" t="s">
        <v>419</v>
      </c>
    </row>
    <row r="91" spans="1:2" x14ac:dyDescent="0.3">
      <c r="A91" s="10">
        <v>337</v>
      </c>
      <c r="B91" s="15" t="s">
        <v>420</v>
      </c>
    </row>
    <row r="92" spans="1:2" x14ac:dyDescent="0.3">
      <c r="A92" s="10">
        <v>338</v>
      </c>
      <c r="B92" s="15" t="s">
        <v>382</v>
      </c>
    </row>
    <row r="93" spans="1:2" x14ac:dyDescent="0.3">
      <c r="A93" s="10">
        <v>339</v>
      </c>
      <c r="B93" s="15" t="s">
        <v>383</v>
      </c>
    </row>
    <row r="94" spans="1:2" x14ac:dyDescent="0.3">
      <c r="A94" s="10">
        <v>346</v>
      </c>
      <c r="B94" s="15" t="s">
        <v>389</v>
      </c>
    </row>
    <row r="95" spans="1:2" x14ac:dyDescent="0.3">
      <c r="A95" s="10">
        <v>340</v>
      </c>
      <c r="B95" s="15" t="s">
        <v>384</v>
      </c>
    </row>
    <row r="96" spans="1:2" x14ac:dyDescent="0.3">
      <c r="A96" s="10">
        <v>344</v>
      </c>
      <c r="B96" s="15" t="s">
        <v>401</v>
      </c>
    </row>
    <row r="97" spans="1:2" x14ac:dyDescent="0.3">
      <c r="A97" s="10">
        <v>347</v>
      </c>
      <c r="B97" s="15" t="s">
        <v>390</v>
      </c>
    </row>
    <row r="98" spans="1:2" x14ac:dyDescent="0.3">
      <c r="A98" s="10">
        <v>341</v>
      </c>
      <c r="B98" s="15" t="s">
        <v>385</v>
      </c>
    </row>
    <row r="99" spans="1:2" x14ac:dyDescent="0.3">
      <c r="A99" s="10">
        <v>342</v>
      </c>
      <c r="B99" s="15" t="s">
        <v>386</v>
      </c>
    </row>
    <row r="100" spans="1:2" x14ac:dyDescent="0.3">
      <c r="A100" s="10">
        <v>348</v>
      </c>
      <c r="B100" s="15" t="s">
        <v>391</v>
      </c>
    </row>
    <row r="101" spans="1:2" x14ac:dyDescent="0.3">
      <c r="A101" s="10">
        <v>349</v>
      </c>
      <c r="B101" s="15" t="s">
        <v>392</v>
      </c>
    </row>
    <row r="102" spans="1:2" x14ac:dyDescent="0.3">
      <c r="A102" s="10">
        <v>350</v>
      </c>
      <c r="B102" s="15" t="s">
        <v>402</v>
      </c>
    </row>
    <row r="103" spans="1:2" x14ac:dyDescent="0.3">
      <c r="A103" s="10">
        <v>351</v>
      </c>
      <c r="B103" s="15" t="s">
        <v>403</v>
      </c>
    </row>
    <row r="104" spans="1:2" x14ac:dyDescent="0.3">
      <c r="A104" s="10">
        <v>352</v>
      </c>
      <c r="B104" s="15" t="s">
        <v>404</v>
      </c>
    </row>
    <row r="105" spans="1:2" x14ac:dyDescent="0.3">
      <c r="A105" s="10">
        <v>352</v>
      </c>
      <c r="B105" s="15" t="s">
        <v>405</v>
      </c>
    </row>
    <row r="106" spans="1:2" x14ac:dyDescent="0.3">
      <c r="A106" s="10">
        <v>353</v>
      </c>
      <c r="B106" s="15" t="s">
        <v>406</v>
      </c>
    </row>
    <row r="107" spans="1:2" x14ac:dyDescent="0.3">
      <c r="A107" s="10">
        <v>354</v>
      </c>
      <c r="B107" s="15" t="s">
        <v>407</v>
      </c>
    </row>
    <row r="108" spans="1:2" x14ac:dyDescent="0.3">
      <c r="A108" s="10">
        <v>355</v>
      </c>
      <c r="B108" s="15" t="s">
        <v>408</v>
      </c>
    </row>
    <row r="109" spans="1:2" x14ac:dyDescent="0.3">
      <c r="A109" s="10">
        <v>357</v>
      </c>
      <c r="B109" s="15" t="s">
        <v>409</v>
      </c>
    </row>
    <row r="110" spans="1:2" x14ac:dyDescent="0.3">
      <c r="A110" s="10">
        <v>358</v>
      </c>
      <c r="B110" s="15" t="s">
        <v>415</v>
      </c>
    </row>
    <row r="111" spans="1:2" x14ac:dyDescent="0.3">
      <c r="A111" s="10">
        <v>359</v>
      </c>
      <c r="B111" s="15" t="s">
        <v>422</v>
      </c>
    </row>
    <row r="112" spans="1:2" x14ac:dyDescent="0.3">
      <c r="A112" s="10">
        <v>360</v>
      </c>
      <c r="B112" s="15" t="s">
        <v>423</v>
      </c>
    </row>
    <row r="113" spans="1:2" x14ac:dyDescent="0.3">
      <c r="A113" s="10">
        <v>361</v>
      </c>
      <c r="B113" s="15" t="s">
        <v>424</v>
      </c>
    </row>
    <row r="114" spans="1:2" x14ac:dyDescent="0.3">
      <c r="A114" s="10">
        <v>362</v>
      </c>
      <c r="B114" s="15" t="s">
        <v>425</v>
      </c>
    </row>
    <row r="115" spans="1:2" x14ac:dyDescent="0.3">
      <c r="A115" s="10">
        <v>363</v>
      </c>
      <c r="B115" s="15" t="s">
        <v>426</v>
      </c>
    </row>
    <row r="116" spans="1:2" x14ac:dyDescent="0.3">
      <c r="A116" s="10">
        <v>364</v>
      </c>
      <c r="B116" s="15" t="s">
        <v>427</v>
      </c>
    </row>
    <row r="117" spans="1:2" x14ac:dyDescent="0.3">
      <c r="A117" s="10">
        <v>365</v>
      </c>
      <c r="B117" s="15" t="s">
        <v>428</v>
      </c>
    </row>
    <row r="118" spans="1:2" x14ac:dyDescent="0.3">
      <c r="A118" s="10">
        <v>366</v>
      </c>
      <c r="B118" s="15" t="s">
        <v>429</v>
      </c>
    </row>
    <row r="119" spans="1:2" x14ac:dyDescent="0.3">
      <c r="A119" s="10">
        <v>367</v>
      </c>
      <c r="B119" s="15" t="s">
        <v>430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A8CC-3B92-4FAA-BB50-3DF826A1253F}">
  <dimension ref="A1:B88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13.33203125" bestFit="1" customWidth="1"/>
    <col min="2" max="2" width="22.5546875" bestFit="1" customWidth="1"/>
  </cols>
  <sheetData>
    <row r="1" spans="1:2" x14ac:dyDescent="0.3">
      <c r="A1" s="1" t="s">
        <v>123</v>
      </c>
      <c r="B1" s="1" t="s">
        <v>27</v>
      </c>
    </row>
    <row r="2" spans="1:2" x14ac:dyDescent="0.3">
      <c r="A2" s="9">
        <v>0</v>
      </c>
      <c r="B2" s="15" t="s">
        <v>110</v>
      </c>
    </row>
    <row r="3" spans="1:2" x14ac:dyDescent="0.3">
      <c r="A3" s="9">
        <v>201</v>
      </c>
      <c r="B3" s="15" t="s">
        <v>76</v>
      </c>
    </row>
    <row r="4" spans="1:2" x14ac:dyDescent="0.3">
      <c r="A4" s="9">
        <v>202</v>
      </c>
      <c r="B4" s="15" t="s">
        <v>77</v>
      </c>
    </row>
    <row r="5" spans="1:2" x14ac:dyDescent="0.3">
      <c r="A5" s="9">
        <v>203</v>
      </c>
      <c r="B5" s="15" t="s">
        <v>124</v>
      </c>
    </row>
    <row r="6" spans="1:2" x14ac:dyDescent="0.3">
      <c r="A6" s="9">
        <v>204</v>
      </c>
      <c r="B6" s="15" t="s">
        <v>125</v>
      </c>
    </row>
    <row r="7" spans="1:2" x14ac:dyDescent="0.3">
      <c r="A7" s="9">
        <v>205</v>
      </c>
      <c r="B7" s="15" t="s">
        <v>126</v>
      </c>
    </row>
    <row r="8" spans="1:2" x14ac:dyDescent="0.3">
      <c r="A8" s="9">
        <v>206</v>
      </c>
      <c r="B8" s="15" t="s">
        <v>127</v>
      </c>
    </row>
    <row r="9" spans="1:2" x14ac:dyDescent="0.3">
      <c r="A9" s="9">
        <v>207</v>
      </c>
      <c r="B9" s="15" t="s">
        <v>128</v>
      </c>
    </row>
    <row r="10" spans="1:2" x14ac:dyDescent="0.3">
      <c r="A10" s="9">
        <v>208</v>
      </c>
      <c r="B10" s="15" t="s">
        <v>129</v>
      </c>
    </row>
    <row r="11" spans="1:2" x14ac:dyDescent="0.3">
      <c r="A11" s="9">
        <v>209</v>
      </c>
      <c r="B11" s="15" t="s">
        <v>130</v>
      </c>
    </row>
    <row r="12" spans="1:2" x14ac:dyDescent="0.3">
      <c r="A12" s="9">
        <v>210</v>
      </c>
      <c r="B12" s="15" t="s">
        <v>80</v>
      </c>
    </row>
    <row r="13" spans="1:2" x14ac:dyDescent="0.3">
      <c r="A13" s="9">
        <v>211</v>
      </c>
      <c r="B13" s="15" t="s">
        <v>81</v>
      </c>
    </row>
    <row r="14" spans="1:2" x14ac:dyDescent="0.3">
      <c r="A14" s="9">
        <v>212</v>
      </c>
      <c r="B14" s="15" t="s">
        <v>131</v>
      </c>
    </row>
    <row r="15" spans="1:2" x14ac:dyDescent="0.3">
      <c r="A15" s="9">
        <v>213</v>
      </c>
      <c r="B15" s="15" t="s">
        <v>132</v>
      </c>
    </row>
    <row r="16" spans="1:2" x14ac:dyDescent="0.3">
      <c r="A16" s="9">
        <v>214</v>
      </c>
      <c r="B16" s="15" t="s">
        <v>133</v>
      </c>
    </row>
    <row r="17" spans="1:2" x14ac:dyDescent="0.3">
      <c r="A17" s="9">
        <v>215</v>
      </c>
      <c r="B17" s="15" t="s">
        <v>134</v>
      </c>
    </row>
    <row r="18" spans="1:2" x14ac:dyDescent="0.3">
      <c r="A18" s="9">
        <v>216</v>
      </c>
      <c r="B18" s="15" t="s">
        <v>135</v>
      </c>
    </row>
    <row r="19" spans="1:2" x14ac:dyDescent="0.3">
      <c r="A19" s="9">
        <v>217</v>
      </c>
      <c r="B19" s="15" t="s">
        <v>136</v>
      </c>
    </row>
    <row r="20" spans="1:2" x14ac:dyDescent="0.3">
      <c r="A20" s="9">
        <v>218</v>
      </c>
      <c r="B20" s="15" t="s">
        <v>137</v>
      </c>
    </row>
    <row r="21" spans="1:2" x14ac:dyDescent="0.3">
      <c r="A21" s="9">
        <v>219</v>
      </c>
      <c r="B21" s="15" t="s">
        <v>138</v>
      </c>
    </row>
    <row r="22" spans="1:2" x14ac:dyDescent="0.3">
      <c r="A22" s="9">
        <v>220</v>
      </c>
      <c r="B22" s="15" t="s">
        <v>139</v>
      </c>
    </row>
    <row r="23" spans="1:2" x14ac:dyDescent="0.3">
      <c r="A23" s="9">
        <v>221</v>
      </c>
      <c r="B23" s="15" t="s">
        <v>140</v>
      </c>
    </row>
    <row r="24" spans="1:2" x14ac:dyDescent="0.3">
      <c r="A24" s="9">
        <v>222</v>
      </c>
      <c r="B24" s="15" t="s">
        <v>141</v>
      </c>
    </row>
    <row r="25" spans="1:2" x14ac:dyDescent="0.3">
      <c r="A25" s="9">
        <v>223</v>
      </c>
      <c r="B25" s="15" t="s">
        <v>142</v>
      </c>
    </row>
    <row r="26" spans="1:2" x14ac:dyDescent="0.3">
      <c r="A26" s="9">
        <v>224</v>
      </c>
      <c r="B26" s="15" t="s">
        <v>143</v>
      </c>
    </row>
    <row r="27" spans="1:2" x14ac:dyDescent="0.3">
      <c r="A27" s="9">
        <v>225</v>
      </c>
      <c r="B27" s="15" t="s">
        <v>144</v>
      </c>
    </row>
    <row r="28" spans="1:2" x14ac:dyDescent="0.3">
      <c r="A28" s="9">
        <v>226</v>
      </c>
      <c r="B28" s="15" t="s">
        <v>145</v>
      </c>
    </row>
    <row r="29" spans="1:2" x14ac:dyDescent="0.3">
      <c r="A29" s="9">
        <v>227</v>
      </c>
      <c r="B29" s="15" t="s">
        <v>146</v>
      </c>
    </row>
    <row r="30" spans="1:2" x14ac:dyDescent="0.3">
      <c r="A30" s="9">
        <v>228</v>
      </c>
      <c r="B30" s="15" t="s">
        <v>147</v>
      </c>
    </row>
    <row r="31" spans="1:2" x14ac:dyDescent="0.3">
      <c r="A31" s="9">
        <v>229</v>
      </c>
      <c r="B31" s="15" t="s">
        <v>148</v>
      </c>
    </row>
    <row r="32" spans="1:2" x14ac:dyDescent="0.3">
      <c r="A32" s="9">
        <v>230</v>
      </c>
      <c r="B32" s="15" t="s">
        <v>149</v>
      </c>
    </row>
    <row r="33" spans="1:2" x14ac:dyDescent="0.3">
      <c r="A33" s="9">
        <v>231</v>
      </c>
      <c r="B33" s="15" t="s">
        <v>150</v>
      </c>
    </row>
    <row r="34" spans="1:2" x14ac:dyDescent="0.3">
      <c r="A34" s="9">
        <v>232</v>
      </c>
      <c r="B34" s="15" t="s">
        <v>151</v>
      </c>
    </row>
    <row r="35" spans="1:2" x14ac:dyDescent="0.3">
      <c r="A35" s="9">
        <v>233</v>
      </c>
      <c r="B35" s="15" t="s">
        <v>152</v>
      </c>
    </row>
    <row r="36" spans="1:2" x14ac:dyDescent="0.3">
      <c r="A36" s="9">
        <v>234</v>
      </c>
      <c r="B36" s="15" t="s">
        <v>153</v>
      </c>
    </row>
    <row r="37" spans="1:2" x14ac:dyDescent="0.3">
      <c r="A37" s="9">
        <v>235</v>
      </c>
      <c r="B37" s="15" t="s">
        <v>154</v>
      </c>
    </row>
    <row r="38" spans="1:2" x14ac:dyDescent="0.3">
      <c r="A38" s="9">
        <v>236</v>
      </c>
      <c r="B38" s="15" t="s">
        <v>155</v>
      </c>
    </row>
    <row r="39" spans="1:2" x14ac:dyDescent="0.3">
      <c r="A39" s="9">
        <v>237</v>
      </c>
      <c r="B39" s="15" t="s">
        <v>156</v>
      </c>
    </row>
    <row r="40" spans="1:2" x14ac:dyDescent="0.3">
      <c r="A40" s="9">
        <v>238</v>
      </c>
      <c r="B40" s="15" t="s">
        <v>157</v>
      </c>
    </row>
    <row r="41" spans="1:2" x14ac:dyDescent="0.3">
      <c r="A41" s="9">
        <v>239</v>
      </c>
      <c r="B41" s="15" t="s">
        <v>158</v>
      </c>
    </row>
    <row r="42" spans="1:2" x14ac:dyDescent="0.3">
      <c r="A42" s="9">
        <v>240</v>
      </c>
      <c r="B42" s="15" t="s">
        <v>159</v>
      </c>
    </row>
    <row r="43" spans="1:2" x14ac:dyDescent="0.3">
      <c r="A43" s="9">
        <v>241</v>
      </c>
      <c r="B43" s="15" t="s">
        <v>160</v>
      </c>
    </row>
    <row r="44" spans="1:2" x14ac:dyDescent="0.3">
      <c r="A44" s="9">
        <v>242</v>
      </c>
      <c r="B44" s="15" t="s">
        <v>161</v>
      </c>
    </row>
    <row r="45" spans="1:2" x14ac:dyDescent="0.3">
      <c r="A45" s="9">
        <v>243</v>
      </c>
      <c r="B45" s="15" t="s">
        <v>162</v>
      </c>
    </row>
    <row r="46" spans="1:2" x14ac:dyDescent="0.3">
      <c r="A46" s="9">
        <v>244</v>
      </c>
      <c r="B46" s="15" t="s">
        <v>163</v>
      </c>
    </row>
    <row r="47" spans="1:2" x14ac:dyDescent="0.3">
      <c r="A47" s="9">
        <v>245</v>
      </c>
      <c r="B47" s="15" t="s">
        <v>164</v>
      </c>
    </row>
    <row r="48" spans="1:2" x14ac:dyDescent="0.3">
      <c r="A48" s="9">
        <v>246</v>
      </c>
      <c r="B48" s="15" t="s">
        <v>165</v>
      </c>
    </row>
    <row r="49" spans="1:2" x14ac:dyDescent="0.3">
      <c r="A49" s="9">
        <v>247</v>
      </c>
      <c r="B49" s="15" t="s">
        <v>166</v>
      </c>
    </row>
    <row r="50" spans="1:2" x14ac:dyDescent="0.3">
      <c r="A50" s="9">
        <v>248</v>
      </c>
      <c r="B50" s="15" t="s">
        <v>167</v>
      </c>
    </row>
    <row r="51" spans="1:2" x14ac:dyDescent="0.3">
      <c r="A51" s="9">
        <v>249</v>
      </c>
      <c r="B51" s="15" t="s">
        <v>168</v>
      </c>
    </row>
    <row r="52" spans="1:2" x14ac:dyDescent="0.3">
      <c r="A52" s="9">
        <v>250</v>
      </c>
      <c r="B52" s="15" t="s">
        <v>169</v>
      </c>
    </row>
    <row r="53" spans="1:2" x14ac:dyDescent="0.3">
      <c r="A53" s="9">
        <v>251</v>
      </c>
      <c r="B53" s="15" t="s">
        <v>170</v>
      </c>
    </row>
    <row r="54" spans="1:2" x14ac:dyDescent="0.3">
      <c r="A54" s="9">
        <v>252</v>
      </c>
      <c r="B54" s="15" t="s">
        <v>171</v>
      </c>
    </row>
    <row r="55" spans="1:2" x14ac:dyDescent="0.3">
      <c r="A55" s="9">
        <v>253</v>
      </c>
      <c r="B55" s="15" t="s">
        <v>172</v>
      </c>
    </row>
    <row r="56" spans="1:2" x14ac:dyDescent="0.3">
      <c r="A56" s="9">
        <v>254</v>
      </c>
      <c r="B56" s="15" t="s">
        <v>173</v>
      </c>
    </row>
    <row r="57" spans="1:2" x14ac:dyDescent="0.3">
      <c r="A57" s="9">
        <v>255</v>
      </c>
      <c r="B57" s="15" t="s">
        <v>174</v>
      </c>
    </row>
    <row r="58" spans="1:2" x14ac:dyDescent="0.3">
      <c r="A58" s="9">
        <v>256</v>
      </c>
      <c r="B58" s="15" t="s">
        <v>175</v>
      </c>
    </row>
    <row r="59" spans="1:2" x14ac:dyDescent="0.3">
      <c r="A59" s="9">
        <v>257</v>
      </c>
      <c r="B59" s="15" t="s">
        <v>176</v>
      </c>
    </row>
    <row r="60" spans="1:2" x14ac:dyDescent="0.3">
      <c r="A60" s="9">
        <v>258</v>
      </c>
      <c r="B60" s="15" t="s">
        <v>177</v>
      </c>
    </row>
    <row r="61" spans="1:2" x14ac:dyDescent="0.3">
      <c r="A61" s="9">
        <v>259</v>
      </c>
      <c r="B61" s="15" t="s">
        <v>178</v>
      </c>
    </row>
    <row r="62" spans="1:2" x14ac:dyDescent="0.3">
      <c r="A62" s="9">
        <v>260</v>
      </c>
      <c r="B62" s="15" t="s">
        <v>179</v>
      </c>
    </row>
    <row r="63" spans="1:2" x14ac:dyDescent="0.3">
      <c r="A63" s="9">
        <v>261</v>
      </c>
      <c r="B63" s="15" t="s">
        <v>180</v>
      </c>
    </row>
    <row r="64" spans="1:2" x14ac:dyDescent="0.3">
      <c r="A64" s="9">
        <v>700</v>
      </c>
      <c r="B64" s="15" t="s">
        <v>181</v>
      </c>
    </row>
    <row r="65" spans="1:2" x14ac:dyDescent="0.3">
      <c r="A65" s="9">
        <v>263</v>
      </c>
      <c r="B65" s="15" t="s">
        <v>182</v>
      </c>
    </row>
    <row r="66" spans="1:2" x14ac:dyDescent="0.3">
      <c r="A66" s="9">
        <v>264</v>
      </c>
      <c r="B66" s="15" t="s">
        <v>183</v>
      </c>
    </row>
    <row r="67" spans="1:2" x14ac:dyDescent="0.3">
      <c r="A67" s="9">
        <v>265</v>
      </c>
      <c r="B67" s="15" t="s">
        <v>184</v>
      </c>
    </row>
    <row r="68" spans="1:2" x14ac:dyDescent="0.3">
      <c r="A68" s="9">
        <v>266</v>
      </c>
      <c r="B68" s="15" t="s">
        <v>185</v>
      </c>
    </row>
    <row r="69" spans="1:2" x14ac:dyDescent="0.3">
      <c r="A69" s="9">
        <v>267</v>
      </c>
      <c r="B69" s="15" t="s">
        <v>186</v>
      </c>
    </row>
    <row r="70" spans="1:2" x14ac:dyDescent="0.3">
      <c r="A70" s="9">
        <v>268</v>
      </c>
      <c r="B70" s="15" t="s">
        <v>187</v>
      </c>
    </row>
    <row r="71" spans="1:2" x14ac:dyDescent="0.3">
      <c r="A71" s="9">
        <v>269</v>
      </c>
      <c r="B71" s="15" t="s">
        <v>188</v>
      </c>
    </row>
    <row r="72" spans="1:2" x14ac:dyDescent="0.3">
      <c r="A72" s="9">
        <v>270</v>
      </c>
      <c r="B72" s="15" t="s">
        <v>189</v>
      </c>
    </row>
    <row r="73" spans="1:2" x14ac:dyDescent="0.3">
      <c r="A73" s="9">
        <v>271</v>
      </c>
      <c r="B73" s="15" t="s">
        <v>190</v>
      </c>
    </row>
    <row r="74" spans="1:2" x14ac:dyDescent="0.3">
      <c r="A74" s="9">
        <v>272</v>
      </c>
      <c r="B74" s="15" t="s">
        <v>191</v>
      </c>
    </row>
    <row r="75" spans="1:2" x14ac:dyDescent="0.3">
      <c r="A75" s="9">
        <v>273</v>
      </c>
      <c r="B75" s="15" t="s">
        <v>192</v>
      </c>
    </row>
    <row r="76" spans="1:2" x14ac:dyDescent="0.3">
      <c r="A76" s="9">
        <v>274</v>
      </c>
      <c r="B76" s="15" t="s">
        <v>193</v>
      </c>
    </row>
    <row r="77" spans="1:2" x14ac:dyDescent="0.3">
      <c r="A77" s="9">
        <v>275</v>
      </c>
      <c r="B77" s="15" t="s">
        <v>161</v>
      </c>
    </row>
    <row r="78" spans="1:2" x14ac:dyDescent="0.3">
      <c r="A78" s="9">
        <v>276</v>
      </c>
      <c r="B78" s="15" t="s">
        <v>194</v>
      </c>
    </row>
    <row r="79" spans="1:2" x14ac:dyDescent="0.3">
      <c r="A79" s="9">
        <v>277</v>
      </c>
      <c r="B79" s="15" t="s">
        <v>195</v>
      </c>
    </row>
    <row r="80" spans="1:2" x14ac:dyDescent="0.3">
      <c r="A80" s="9">
        <v>278</v>
      </c>
      <c r="B80" s="15" t="s">
        <v>196</v>
      </c>
    </row>
    <row r="81" spans="1:2" x14ac:dyDescent="0.3">
      <c r="A81" s="9">
        <v>279</v>
      </c>
      <c r="B81" s="15" t="s">
        <v>197</v>
      </c>
    </row>
    <row r="82" spans="1:2" x14ac:dyDescent="0.3">
      <c r="A82" s="9">
        <v>280</v>
      </c>
      <c r="B82" s="15" t="s">
        <v>198</v>
      </c>
    </row>
    <row r="83" spans="1:2" x14ac:dyDescent="0.3">
      <c r="A83" s="9">
        <v>281</v>
      </c>
      <c r="B83" s="15" t="s">
        <v>199</v>
      </c>
    </row>
    <row r="84" spans="1:2" x14ac:dyDescent="0.3">
      <c r="A84" s="9">
        <v>282</v>
      </c>
      <c r="B84" s="15" t="s">
        <v>200</v>
      </c>
    </row>
    <row r="85" spans="1:2" x14ac:dyDescent="0.3">
      <c r="A85" s="9">
        <v>283</v>
      </c>
      <c r="B85" s="15" t="s">
        <v>201</v>
      </c>
    </row>
    <row r="86" spans="1:2" x14ac:dyDescent="0.3">
      <c r="A86" s="9">
        <v>284</v>
      </c>
      <c r="B86" s="15" t="s">
        <v>202</v>
      </c>
    </row>
    <row r="87" spans="1:2" x14ac:dyDescent="0.3">
      <c r="A87" s="9">
        <v>658</v>
      </c>
      <c r="B87" s="15" t="s">
        <v>112</v>
      </c>
    </row>
    <row r="88" spans="1:2" x14ac:dyDescent="0.3">
      <c r="A88" s="9">
        <v>285</v>
      </c>
      <c r="B88" s="15" t="s">
        <v>410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DD2D-3727-44DD-9A46-B0CF3080A666}">
  <dimension ref="A1:B48"/>
  <sheetViews>
    <sheetView workbookViewId="0">
      <selection activeCell="F11" sqref="F11"/>
    </sheetView>
  </sheetViews>
  <sheetFormatPr defaultRowHeight="14.4" x14ac:dyDescent="0.3"/>
  <cols>
    <col min="1" max="1" width="13.88671875" bestFit="1" customWidth="1"/>
    <col min="2" max="2" width="20.5546875" bestFit="1" customWidth="1"/>
    <col min="3" max="3" width="12.6640625" bestFit="1" customWidth="1"/>
  </cols>
  <sheetData>
    <row r="1" spans="1:2" x14ac:dyDescent="0.3">
      <c r="A1" s="1" t="s">
        <v>204</v>
      </c>
      <c r="B1" s="1" t="s">
        <v>75</v>
      </c>
    </row>
    <row r="2" spans="1:2" x14ac:dyDescent="0.3">
      <c r="A2">
        <v>1318</v>
      </c>
      <c r="B2" s="15" t="s">
        <v>76</v>
      </c>
    </row>
    <row r="3" spans="1:2" x14ac:dyDescent="0.3">
      <c r="A3">
        <v>1328</v>
      </c>
      <c r="B3" s="15" t="s">
        <v>77</v>
      </c>
    </row>
    <row r="4" spans="1:2" x14ac:dyDescent="0.3">
      <c r="A4">
        <v>1337</v>
      </c>
      <c r="B4" s="15" t="s">
        <v>78</v>
      </c>
    </row>
    <row r="5" spans="1:2" x14ac:dyDescent="0.3">
      <c r="A5">
        <v>1345</v>
      </c>
      <c r="B5" s="15" t="s">
        <v>79</v>
      </c>
    </row>
    <row r="6" spans="1:2" x14ac:dyDescent="0.3">
      <c r="A6">
        <v>1346</v>
      </c>
      <c r="B6" s="15" t="s">
        <v>80</v>
      </c>
    </row>
    <row r="7" spans="1:2" x14ac:dyDescent="0.3">
      <c r="A7">
        <v>1347</v>
      </c>
      <c r="B7" s="15" t="s">
        <v>81</v>
      </c>
    </row>
    <row r="8" spans="1:2" x14ac:dyDescent="0.3">
      <c r="A8">
        <v>1348</v>
      </c>
      <c r="B8" s="15" t="s">
        <v>82</v>
      </c>
    </row>
    <row r="9" spans="1:2" x14ac:dyDescent="0.3">
      <c r="A9">
        <v>1349</v>
      </c>
      <c r="B9" s="15" t="s">
        <v>83</v>
      </c>
    </row>
    <row r="10" spans="1:2" x14ac:dyDescent="0.3">
      <c r="A10">
        <v>1350</v>
      </c>
      <c r="B10" s="15" t="s">
        <v>84</v>
      </c>
    </row>
    <row r="11" spans="1:2" x14ac:dyDescent="0.3">
      <c r="A11">
        <v>1351</v>
      </c>
      <c r="B11" s="15" t="s">
        <v>85</v>
      </c>
    </row>
    <row r="12" spans="1:2" x14ac:dyDescent="0.3">
      <c r="A12">
        <v>1352</v>
      </c>
      <c r="B12" s="15" t="s">
        <v>86</v>
      </c>
    </row>
    <row r="13" spans="1:2" x14ac:dyDescent="0.3">
      <c r="A13">
        <v>1353</v>
      </c>
      <c r="B13" s="15" t="s">
        <v>87</v>
      </c>
    </row>
    <row r="14" spans="1:2" x14ac:dyDescent="0.3">
      <c r="A14">
        <v>1354</v>
      </c>
      <c r="B14" s="15" t="s">
        <v>88</v>
      </c>
    </row>
    <row r="15" spans="1:2" x14ac:dyDescent="0.3">
      <c r="A15">
        <v>1355</v>
      </c>
      <c r="B15" s="15" t="s">
        <v>89</v>
      </c>
    </row>
    <row r="16" spans="1:2" x14ac:dyDescent="0.3">
      <c r="A16">
        <v>1356</v>
      </c>
      <c r="B16" s="15" t="s">
        <v>90</v>
      </c>
    </row>
    <row r="17" spans="1:2" x14ac:dyDescent="0.3">
      <c r="A17">
        <v>1357</v>
      </c>
      <c r="B17" s="15" t="s">
        <v>91</v>
      </c>
    </row>
    <row r="18" spans="1:2" x14ac:dyDescent="0.3">
      <c r="A18">
        <v>1358</v>
      </c>
      <c r="B18" s="15" t="s">
        <v>92</v>
      </c>
    </row>
    <row r="19" spans="1:2" x14ac:dyDescent="0.3">
      <c r="A19">
        <v>1359</v>
      </c>
      <c r="B19" s="15" t="s">
        <v>93</v>
      </c>
    </row>
    <row r="20" spans="1:2" x14ac:dyDescent="0.3">
      <c r="A20">
        <v>1360</v>
      </c>
      <c r="B20" s="15" t="s">
        <v>94</v>
      </c>
    </row>
    <row r="21" spans="1:2" x14ac:dyDescent="0.3">
      <c r="A21">
        <v>1361</v>
      </c>
      <c r="B21" s="15" t="s">
        <v>95</v>
      </c>
    </row>
    <row r="22" spans="1:2" x14ac:dyDescent="0.3">
      <c r="A22">
        <v>1362</v>
      </c>
      <c r="B22" s="15" t="s">
        <v>96</v>
      </c>
    </row>
    <row r="23" spans="1:2" x14ac:dyDescent="0.3">
      <c r="A23">
        <v>1363</v>
      </c>
      <c r="B23" s="15" t="s">
        <v>97</v>
      </c>
    </row>
    <row r="24" spans="1:2" x14ac:dyDescent="0.3">
      <c r="A24">
        <v>1364</v>
      </c>
      <c r="B24" s="15" t="s">
        <v>98</v>
      </c>
    </row>
    <row r="25" spans="1:2" x14ac:dyDescent="0.3">
      <c r="A25">
        <v>1365</v>
      </c>
      <c r="B25" s="15" t="s">
        <v>99</v>
      </c>
    </row>
    <row r="26" spans="1:2" x14ac:dyDescent="0.3">
      <c r="A26">
        <v>1366</v>
      </c>
      <c r="B26" s="15" t="s">
        <v>100</v>
      </c>
    </row>
    <row r="27" spans="1:2" x14ac:dyDescent="0.3">
      <c r="A27">
        <v>1367</v>
      </c>
      <c r="B27" s="15" t="s">
        <v>101</v>
      </c>
    </row>
    <row r="28" spans="1:2" x14ac:dyDescent="0.3">
      <c r="A28">
        <v>1368</v>
      </c>
      <c r="B28" s="15" t="s">
        <v>102</v>
      </c>
    </row>
    <row r="29" spans="1:2" x14ac:dyDescent="0.3">
      <c r="A29">
        <v>1369</v>
      </c>
      <c r="B29" s="15" t="s">
        <v>103</v>
      </c>
    </row>
    <row r="30" spans="1:2" x14ac:dyDescent="0.3">
      <c r="A30">
        <v>1370</v>
      </c>
      <c r="B30" s="15" t="s">
        <v>104</v>
      </c>
    </row>
    <row r="31" spans="1:2" x14ac:dyDescent="0.3">
      <c r="A31">
        <v>1371</v>
      </c>
      <c r="B31" s="15" t="s">
        <v>105</v>
      </c>
    </row>
    <row r="32" spans="1:2" x14ac:dyDescent="0.3">
      <c r="A32">
        <v>1372</v>
      </c>
      <c r="B32" s="15" t="s">
        <v>92</v>
      </c>
    </row>
    <row r="33" spans="1:2" x14ac:dyDescent="0.3">
      <c r="A33">
        <v>1373</v>
      </c>
      <c r="B33" s="15" t="s">
        <v>106</v>
      </c>
    </row>
    <row r="34" spans="1:2" x14ac:dyDescent="0.3">
      <c r="A34">
        <v>834</v>
      </c>
      <c r="B34" s="15" t="s">
        <v>107</v>
      </c>
    </row>
    <row r="35" spans="1:2" x14ac:dyDescent="0.3">
      <c r="A35">
        <v>373</v>
      </c>
      <c r="B35" s="15" t="s">
        <v>108</v>
      </c>
    </row>
    <row r="36" spans="1:2" x14ac:dyDescent="0.3">
      <c r="A36">
        <v>1338</v>
      </c>
      <c r="B36" s="15" t="s">
        <v>109</v>
      </c>
    </row>
    <row r="37" spans="1:2" x14ac:dyDescent="0.3">
      <c r="A37">
        <v>1377</v>
      </c>
      <c r="B37" s="15" t="s">
        <v>110</v>
      </c>
    </row>
    <row r="38" spans="1:2" x14ac:dyDescent="0.3">
      <c r="A38">
        <v>1378</v>
      </c>
      <c r="B38" s="15" t="s">
        <v>111</v>
      </c>
    </row>
    <row r="39" spans="1:2" x14ac:dyDescent="0.3">
      <c r="A39">
        <v>658</v>
      </c>
      <c r="B39" s="15" t="s">
        <v>112</v>
      </c>
    </row>
    <row r="40" spans="1:2" x14ac:dyDescent="0.3">
      <c r="A40">
        <v>991</v>
      </c>
      <c r="B40" s="15" t="s">
        <v>113</v>
      </c>
    </row>
    <row r="41" spans="1:2" x14ac:dyDescent="0.3">
      <c r="A41">
        <v>823</v>
      </c>
      <c r="B41" s="15" t="s">
        <v>114</v>
      </c>
    </row>
    <row r="42" spans="1:2" x14ac:dyDescent="0.3">
      <c r="A42">
        <v>1748</v>
      </c>
      <c r="B42" s="15" t="s">
        <v>115</v>
      </c>
    </row>
    <row r="43" spans="1:2" x14ac:dyDescent="0.3">
      <c r="A43">
        <v>1747</v>
      </c>
      <c r="B43" s="15" t="s">
        <v>116</v>
      </c>
    </row>
    <row r="44" spans="1:2" x14ac:dyDescent="0.3">
      <c r="A44">
        <v>1741</v>
      </c>
      <c r="B44" s="15" t="s">
        <v>117</v>
      </c>
    </row>
    <row r="45" spans="1:2" x14ac:dyDescent="0.3">
      <c r="A45">
        <v>1749</v>
      </c>
      <c r="B45" s="15" t="s">
        <v>118</v>
      </c>
    </row>
    <row r="46" spans="1:2" x14ac:dyDescent="0.3">
      <c r="A46">
        <v>343</v>
      </c>
      <c r="B46" s="15" t="s">
        <v>119</v>
      </c>
    </row>
    <row r="47" spans="1:2" x14ac:dyDescent="0.3">
      <c r="A47">
        <v>1750</v>
      </c>
      <c r="B47" s="15" t="s">
        <v>120</v>
      </c>
    </row>
    <row r="48" spans="1:2" x14ac:dyDescent="0.3">
      <c r="A48">
        <v>700</v>
      </c>
      <c r="B48" s="15" t="s">
        <v>181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E36D-4E9D-4125-8CE1-C23D54775111}">
  <dimension ref="A1:D5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1.109375" bestFit="1" customWidth="1"/>
    <col min="2" max="2" width="10.6640625" bestFit="1" customWidth="1"/>
    <col min="4" max="4" width="51.6640625" customWidth="1"/>
  </cols>
  <sheetData>
    <row r="1" spans="1:4" x14ac:dyDescent="0.3">
      <c r="A1" s="1" t="s">
        <v>3</v>
      </c>
      <c r="B1" s="1" t="s">
        <v>29</v>
      </c>
    </row>
    <row r="2" spans="1:4" x14ac:dyDescent="0.3">
      <c r="A2">
        <v>1</v>
      </c>
      <c r="B2" s="9" t="s">
        <v>121</v>
      </c>
      <c r="D2" t="s">
        <v>302</v>
      </c>
    </row>
    <row r="3" spans="1:4" x14ac:dyDescent="0.3">
      <c r="A3">
        <v>2</v>
      </c>
      <c r="B3" s="9" t="s">
        <v>122</v>
      </c>
    </row>
    <row r="4" spans="1:4" x14ac:dyDescent="0.3">
      <c r="A4">
        <v>3</v>
      </c>
      <c r="B4" s="9" t="s">
        <v>280</v>
      </c>
    </row>
    <row r="5" spans="1:4" x14ac:dyDescent="0.3">
      <c r="A5">
        <v>4</v>
      </c>
      <c r="B5" s="9" t="s">
        <v>281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Q42"/>
  <sheetViews>
    <sheetView tabSelected="1" zoomScaleNormal="100" workbookViewId="0">
      <pane ySplit="1" topLeftCell="A2" activePane="bottomLeft" state="frozen"/>
      <selection pane="bottomLeft" activeCell="P1" activeCellId="12" sqref="B1:B1048576 E1:E1048576 F1:F1048576 G1:G1048576 H1:H1048576 I1:I1048576 J1:J1048576 K1:K1048576 L1:L1048576 M1:M1048576 N1:N1048576 O1:O1048576 P1:P1048576"/>
    </sheetView>
  </sheetViews>
  <sheetFormatPr defaultRowHeight="14.4" outlineLevelCol="1" x14ac:dyDescent="0.3"/>
  <cols>
    <col min="1" max="1" width="24.33203125" customWidth="1"/>
    <col min="2" max="2" width="11.33203125" hidden="1" customWidth="1"/>
    <col min="3" max="3" width="24.5546875" customWidth="1" outlineLevel="1"/>
    <col min="4" max="4" width="30.5546875" customWidth="1" outlineLevel="1"/>
    <col min="5" max="5" width="10.6640625" hidden="1" customWidth="1" outlineLevel="1"/>
    <col min="6" max="6" width="19.109375" hidden="1" customWidth="1" outlineLevel="1"/>
    <col min="7" max="7" width="12.33203125" hidden="1" customWidth="1" outlineLevel="1"/>
    <col min="8" max="8" width="11.33203125" hidden="1" customWidth="1" outlineLevel="1"/>
    <col min="9" max="9" width="14.33203125" hidden="1" customWidth="1" outlineLevel="1"/>
    <col min="10" max="10" width="11.109375" hidden="1" customWidth="1" outlineLevel="1"/>
    <col min="11" max="11" width="23.44140625" hidden="1" customWidth="1" outlineLevel="1"/>
    <col min="12" max="12" width="13.33203125" hidden="1" customWidth="1" outlineLevel="1"/>
    <col min="13" max="16" width="12.6640625" hidden="1" customWidth="1"/>
    <col min="17" max="17" width="71.109375" customWidth="1"/>
  </cols>
  <sheetData>
    <row r="1" spans="1:17" ht="55.95" customHeight="1" x14ac:dyDescent="0.3">
      <c r="A1" s="55" t="s">
        <v>251</v>
      </c>
      <c r="B1" s="55" t="s">
        <v>252</v>
      </c>
      <c r="C1" s="56" t="s">
        <v>253</v>
      </c>
      <c r="D1" s="56" t="s">
        <v>254</v>
      </c>
      <c r="E1" s="56" t="s">
        <v>250</v>
      </c>
      <c r="F1" s="13" t="s">
        <v>255</v>
      </c>
      <c r="G1" s="13" t="s">
        <v>256</v>
      </c>
      <c r="H1" s="13" t="s">
        <v>257</v>
      </c>
      <c r="I1" s="13" t="s">
        <v>411</v>
      </c>
      <c r="J1" s="13" t="s">
        <v>258</v>
      </c>
      <c r="K1" s="4" t="s">
        <v>259</v>
      </c>
      <c r="L1" s="4" t="s">
        <v>270</v>
      </c>
      <c r="M1" s="4" t="s">
        <v>269</v>
      </c>
      <c r="N1" s="4" t="s">
        <v>271</v>
      </c>
      <c r="O1" s="4" t="s">
        <v>272</v>
      </c>
      <c r="P1" s="4" t="s">
        <v>273</v>
      </c>
      <c r="Q1" s="55" t="s">
        <v>0</v>
      </c>
    </row>
    <row r="2" spans="1:17" x14ac:dyDescent="0.3">
      <c r="A2" s="14" t="s">
        <v>216</v>
      </c>
      <c r="B2" s="10">
        <v>1</v>
      </c>
      <c r="C2" s="45" t="s">
        <v>3</v>
      </c>
      <c r="D2" s="46" t="s">
        <v>4</v>
      </c>
      <c r="E2" s="47" t="s">
        <v>31</v>
      </c>
      <c r="F2" s="48" t="s">
        <v>74</v>
      </c>
      <c r="G2" s="48" t="s">
        <v>34</v>
      </c>
      <c r="H2" s="49" t="s">
        <v>33</v>
      </c>
      <c r="I2" s="49" t="s">
        <v>33</v>
      </c>
      <c r="J2" s="49" t="s">
        <v>33</v>
      </c>
      <c r="K2" s="50" t="s">
        <v>207</v>
      </c>
      <c r="L2" s="50" t="s">
        <v>33</v>
      </c>
      <c r="M2" s="50" t="s">
        <v>274</v>
      </c>
      <c r="N2" s="50" t="s">
        <v>277</v>
      </c>
      <c r="O2" s="50" t="s">
        <v>277</v>
      </c>
      <c r="P2" s="50" t="s">
        <v>33</v>
      </c>
      <c r="Q2" s="51" t="s">
        <v>40</v>
      </c>
    </row>
    <row r="3" spans="1:17" x14ac:dyDescent="0.3">
      <c r="A3" s="14" t="s">
        <v>216</v>
      </c>
      <c r="B3" s="10">
        <v>2</v>
      </c>
      <c r="C3" s="45" t="s">
        <v>55</v>
      </c>
      <c r="D3" s="46" t="s">
        <v>8</v>
      </c>
      <c r="E3" s="47" t="s">
        <v>31</v>
      </c>
      <c r="F3" s="48" t="s">
        <v>74</v>
      </c>
      <c r="G3" s="48" t="s">
        <v>33</v>
      </c>
      <c r="H3" s="49" t="s">
        <v>34</v>
      </c>
      <c r="I3" s="49" t="s">
        <v>33</v>
      </c>
      <c r="J3" s="49" t="s">
        <v>33</v>
      </c>
      <c r="K3" s="50" t="s">
        <v>207</v>
      </c>
      <c r="L3" s="50" t="s">
        <v>33</v>
      </c>
      <c r="M3" s="50" t="s">
        <v>274</v>
      </c>
      <c r="N3" s="50" t="s">
        <v>277</v>
      </c>
      <c r="O3" s="50" t="s">
        <v>277</v>
      </c>
      <c r="P3" s="50" t="s">
        <v>33</v>
      </c>
      <c r="Q3" s="51" t="s">
        <v>37</v>
      </c>
    </row>
    <row r="4" spans="1:17" x14ac:dyDescent="0.3">
      <c r="A4" s="14" t="s">
        <v>216</v>
      </c>
      <c r="B4" s="10">
        <v>3</v>
      </c>
      <c r="C4" s="45" t="s">
        <v>232</v>
      </c>
      <c r="D4" s="46" t="s">
        <v>210</v>
      </c>
      <c r="E4" s="47" t="s">
        <v>30</v>
      </c>
      <c r="F4" s="48" t="s">
        <v>211</v>
      </c>
      <c r="G4" s="48" t="s">
        <v>33</v>
      </c>
      <c r="H4" s="49" t="s">
        <v>33</v>
      </c>
      <c r="I4" s="49" t="s">
        <v>33</v>
      </c>
      <c r="J4" s="49" t="s">
        <v>33</v>
      </c>
      <c r="K4" s="50" t="s">
        <v>215</v>
      </c>
      <c r="L4" s="50" t="s">
        <v>34</v>
      </c>
      <c r="M4" s="50" t="s">
        <v>275</v>
      </c>
      <c r="N4" s="50" t="s">
        <v>277</v>
      </c>
      <c r="O4" s="50" t="s">
        <v>277</v>
      </c>
      <c r="P4" s="50" t="s">
        <v>33</v>
      </c>
      <c r="Q4" s="51" t="s">
        <v>214</v>
      </c>
    </row>
    <row r="5" spans="1:17" ht="28.8" x14ac:dyDescent="0.3">
      <c r="A5" s="14" t="s">
        <v>216</v>
      </c>
      <c r="B5" s="10">
        <v>4</v>
      </c>
      <c r="C5" s="45" t="s">
        <v>393</v>
      </c>
      <c r="D5" s="46" t="s">
        <v>219</v>
      </c>
      <c r="E5" s="47" t="s">
        <v>31</v>
      </c>
      <c r="F5" s="48" t="s">
        <v>63</v>
      </c>
      <c r="G5" s="48" t="s">
        <v>33</v>
      </c>
      <c r="H5" s="49" t="s">
        <v>33</v>
      </c>
      <c r="I5" s="49" t="s">
        <v>34</v>
      </c>
      <c r="J5" s="49" t="s">
        <v>33</v>
      </c>
      <c r="K5" s="50" t="s">
        <v>207</v>
      </c>
      <c r="L5" s="50" t="s">
        <v>33</v>
      </c>
      <c r="M5" s="50" t="s">
        <v>274</v>
      </c>
      <c r="N5" s="50" t="s">
        <v>277</v>
      </c>
      <c r="O5" s="50" t="s">
        <v>277</v>
      </c>
      <c r="P5" s="50" t="s">
        <v>33</v>
      </c>
      <c r="Q5" s="51" t="s">
        <v>417</v>
      </c>
    </row>
    <row r="6" spans="1:17" ht="28.8" x14ac:dyDescent="0.3">
      <c r="A6" s="14" t="s">
        <v>216</v>
      </c>
      <c r="B6" s="10">
        <v>5</v>
      </c>
      <c r="C6" s="45" t="s">
        <v>233</v>
      </c>
      <c r="D6" s="46" t="s">
        <v>220</v>
      </c>
      <c r="E6" s="47" t="s">
        <v>31</v>
      </c>
      <c r="F6" s="48" t="s">
        <v>61</v>
      </c>
      <c r="G6" s="48" t="s">
        <v>33</v>
      </c>
      <c r="H6" s="49" t="s">
        <v>33</v>
      </c>
      <c r="I6" s="49" t="s">
        <v>33</v>
      </c>
      <c r="J6" s="49" t="s">
        <v>33</v>
      </c>
      <c r="K6" s="50" t="s">
        <v>207</v>
      </c>
      <c r="L6" s="50" t="s">
        <v>33</v>
      </c>
      <c r="M6" s="50" t="s">
        <v>274</v>
      </c>
      <c r="N6" s="50" t="s">
        <v>277</v>
      </c>
      <c r="O6" s="50" t="s">
        <v>277</v>
      </c>
      <c r="P6" s="50" t="s">
        <v>33</v>
      </c>
      <c r="Q6" s="51" t="s">
        <v>230</v>
      </c>
    </row>
    <row r="7" spans="1:17" x14ac:dyDescent="0.3">
      <c r="A7" s="14" t="s">
        <v>216</v>
      </c>
      <c r="B7" s="10">
        <v>6</v>
      </c>
      <c r="C7" s="45" t="s">
        <v>236</v>
      </c>
      <c r="D7" s="46" t="s">
        <v>9</v>
      </c>
      <c r="E7" s="47" t="s">
        <v>30</v>
      </c>
      <c r="F7" s="48" t="s">
        <v>229</v>
      </c>
      <c r="G7" s="48" t="s">
        <v>33</v>
      </c>
      <c r="H7" s="49" t="s">
        <v>33</v>
      </c>
      <c r="I7" s="49" t="s">
        <v>33</v>
      </c>
      <c r="J7" s="49" t="s">
        <v>33</v>
      </c>
      <c r="K7" s="50" t="s">
        <v>207</v>
      </c>
      <c r="L7" s="50" t="s">
        <v>33</v>
      </c>
      <c r="M7" s="50" t="s">
        <v>275</v>
      </c>
      <c r="N7" s="50" t="s">
        <v>278</v>
      </c>
      <c r="O7" s="50" t="s">
        <v>279</v>
      </c>
      <c r="P7" s="50" t="s">
        <v>34</v>
      </c>
      <c r="Q7" s="51" t="s">
        <v>43</v>
      </c>
    </row>
    <row r="8" spans="1:17" x14ac:dyDescent="0.3">
      <c r="A8" s="14" t="s">
        <v>216</v>
      </c>
      <c r="B8" s="10">
        <v>7</v>
      </c>
      <c r="C8" s="45" t="s">
        <v>223</v>
      </c>
      <c r="D8" s="46" t="s">
        <v>224</v>
      </c>
      <c r="E8" s="47" t="s">
        <v>30</v>
      </c>
      <c r="F8" s="48" t="s">
        <v>61</v>
      </c>
      <c r="G8" s="48" t="s">
        <v>34</v>
      </c>
      <c r="H8" s="49" t="s">
        <v>33</v>
      </c>
      <c r="I8" s="49" t="s">
        <v>33</v>
      </c>
      <c r="J8" s="49" t="s">
        <v>33</v>
      </c>
      <c r="K8" s="50" t="s">
        <v>207</v>
      </c>
      <c r="L8" s="50" t="s">
        <v>33</v>
      </c>
      <c r="M8" s="50" t="s">
        <v>275</v>
      </c>
      <c r="N8" s="50" t="s">
        <v>277</v>
      </c>
      <c r="O8" s="50" t="s">
        <v>277</v>
      </c>
      <c r="P8" s="50" t="s">
        <v>33</v>
      </c>
      <c r="Q8" s="51" t="s">
        <v>225</v>
      </c>
    </row>
    <row r="9" spans="1:17" ht="28.8" x14ac:dyDescent="0.3">
      <c r="A9" s="14" t="s">
        <v>216</v>
      </c>
      <c r="B9" s="10">
        <v>8</v>
      </c>
      <c r="C9" s="45" t="s">
        <v>234</v>
      </c>
      <c r="D9" s="46" t="s">
        <v>412</v>
      </c>
      <c r="E9" s="47" t="s">
        <v>31</v>
      </c>
      <c r="F9" s="48" t="s">
        <v>61</v>
      </c>
      <c r="G9" s="48" t="s">
        <v>33</v>
      </c>
      <c r="H9" s="49" t="s">
        <v>33</v>
      </c>
      <c r="I9" s="49" t="s">
        <v>33</v>
      </c>
      <c r="J9" s="49" t="s">
        <v>33</v>
      </c>
      <c r="K9" s="50" t="s">
        <v>207</v>
      </c>
      <c r="L9" s="50" t="s">
        <v>33</v>
      </c>
      <c r="M9" s="50" t="s">
        <v>274</v>
      </c>
      <c r="N9" s="50" t="s">
        <v>277</v>
      </c>
      <c r="O9" s="50" t="s">
        <v>277</v>
      </c>
      <c r="P9" s="50" t="s">
        <v>33</v>
      </c>
      <c r="Q9" s="51" t="s">
        <v>39</v>
      </c>
    </row>
    <row r="10" spans="1:17" ht="28.8" x14ac:dyDescent="0.3">
      <c r="A10" s="14" t="s">
        <v>216</v>
      </c>
      <c r="B10" s="10">
        <v>9</v>
      </c>
      <c r="C10" s="45" t="s">
        <v>235</v>
      </c>
      <c r="D10" s="46" t="s">
        <v>413</v>
      </c>
      <c r="E10" s="47" t="s">
        <v>30</v>
      </c>
      <c r="F10" s="48" t="s">
        <v>62</v>
      </c>
      <c r="G10" s="48" t="s">
        <v>34</v>
      </c>
      <c r="H10" s="49" t="s">
        <v>33</v>
      </c>
      <c r="I10" s="49" t="s">
        <v>34</v>
      </c>
      <c r="J10" s="49" t="s">
        <v>33</v>
      </c>
      <c r="K10" s="50" t="s">
        <v>207</v>
      </c>
      <c r="L10" s="50" t="s">
        <v>33</v>
      </c>
      <c r="M10" s="50" t="s">
        <v>276</v>
      </c>
      <c r="N10" s="50" t="s">
        <v>277</v>
      </c>
      <c r="O10" s="50" t="s">
        <v>277</v>
      </c>
      <c r="P10" s="50" t="s">
        <v>33</v>
      </c>
      <c r="Q10" s="51" t="s">
        <v>38</v>
      </c>
    </row>
    <row r="11" spans="1:17" x14ac:dyDescent="0.3">
      <c r="A11" s="14" t="s">
        <v>216</v>
      </c>
      <c r="B11" s="10">
        <v>10</v>
      </c>
      <c r="C11" s="45" t="s">
        <v>496</v>
      </c>
      <c r="D11" s="46" t="s">
        <v>395</v>
      </c>
      <c r="E11" s="47" t="s">
        <v>30</v>
      </c>
      <c r="F11" s="52" t="s">
        <v>66</v>
      </c>
      <c r="G11" s="48" t="s">
        <v>33</v>
      </c>
      <c r="H11" s="49" t="s">
        <v>33</v>
      </c>
      <c r="I11" s="49" t="s">
        <v>33</v>
      </c>
      <c r="J11" s="49" t="s">
        <v>33</v>
      </c>
      <c r="K11" s="50" t="s">
        <v>207</v>
      </c>
      <c r="L11" s="50" t="s">
        <v>34</v>
      </c>
      <c r="M11" s="50" t="s">
        <v>275</v>
      </c>
      <c r="N11" s="50" t="s">
        <v>277</v>
      </c>
      <c r="O11" s="50" t="s">
        <v>277</v>
      </c>
      <c r="P11" s="50" t="s">
        <v>33</v>
      </c>
      <c r="Q11" s="51" t="s">
        <v>498</v>
      </c>
    </row>
    <row r="12" spans="1:17" x14ac:dyDescent="0.3">
      <c r="A12" s="14" t="s">
        <v>216</v>
      </c>
      <c r="B12" s="10">
        <v>11</v>
      </c>
      <c r="C12" s="45" t="s">
        <v>237</v>
      </c>
      <c r="D12" s="46" t="s">
        <v>228</v>
      </c>
      <c r="E12" s="47" t="s">
        <v>30</v>
      </c>
      <c r="F12" s="48" t="s">
        <v>226</v>
      </c>
      <c r="G12" s="48" t="s">
        <v>34</v>
      </c>
      <c r="H12" s="49" t="s">
        <v>33</v>
      </c>
      <c r="I12" s="49" t="s">
        <v>34</v>
      </c>
      <c r="J12" s="49" t="s">
        <v>33</v>
      </c>
      <c r="K12" s="50" t="s">
        <v>207</v>
      </c>
      <c r="L12" s="50" t="s">
        <v>33</v>
      </c>
      <c r="M12" s="50" t="s">
        <v>275</v>
      </c>
      <c r="N12" s="50" t="s">
        <v>277</v>
      </c>
      <c r="O12" s="50" t="s">
        <v>279</v>
      </c>
      <c r="P12" s="50" t="s">
        <v>33</v>
      </c>
      <c r="Q12" s="51" t="s">
        <v>227</v>
      </c>
    </row>
    <row r="13" spans="1:17" x14ac:dyDescent="0.3">
      <c r="A13" s="14" t="s">
        <v>216</v>
      </c>
      <c r="B13" s="10">
        <v>12</v>
      </c>
      <c r="C13" s="45" t="s">
        <v>238</v>
      </c>
      <c r="D13" s="46" t="s">
        <v>5</v>
      </c>
      <c r="E13" s="47" t="s">
        <v>30</v>
      </c>
      <c r="F13" s="48" t="s">
        <v>64</v>
      </c>
      <c r="G13" s="48" t="s">
        <v>34</v>
      </c>
      <c r="H13" s="49" t="s">
        <v>33</v>
      </c>
      <c r="I13" s="49" t="s">
        <v>33</v>
      </c>
      <c r="J13" s="49" t="s">
        <v>33</v>
      </c>
      <c r="K13" s="50" t="s">
        <v>207</v>
      </c>
      <c r="L13" s="50" t="s">
        <v>33</v>
      </c>
      <c r="M13" s="50" t="s">
        <v>275</v>
      </c>
      <c r="N13" s="50" t="s">
        <v>278</v>
      </c>
      <c r="O13" s="50" t="s">
        <v>279</v>
      </c>
      <c r="P13" s="50" t="s">
        <v>34</v>
      </c>
      <c r="Q13" s="51" t="s">
        <v>42</v>
      </c>
    </row>
    <row r="14" spans="1:17" x14ac:dyDescent="0.3">
      <c r="A14" s="14" t="s">
        <v>216</v>
      </c>
      <c r="B14" s="10">
        <v>13</v>
      </c>
      <c r="C14" s="45" t="s">
        <v>239</v>
      </c>
      <c r="D14" s="46" t="s">
        <v>6</v>
      </c>
      <c r="E14" s="47" t="s">
        <v>30</v>
      </c>
      <c r="F14" s="48" t="s">
        <v>65</v>
      </c>
      <c r="G14" s="48" t="s">
        <v>33</v>
      </c>
      <c r="H14" s="49" t="s">
        <v>33</v>
      </c>
      <c r="I14" s="49" t="s">
        <v>33</v>
      </c>
      <c r="J14" s="49" t="s">
        <v>33</v>
      </c>
      <c r="K14" s="50" t="s">
        <v>207</v>
      </c>
      <c r="L14" s="50" t="s">
        <v>33</v>
      </c>
      <c r="M14" s="50" t="s">
        <v>275</v>
      </c>
      <c r="N14" s="50" t="s">
        <v>278</v>
      </c>
      <c r="O14" s="50" t="s">
        <v>279</v>
      </c>
      <c r="P14" s="50" t="s">
        <v>34</v>
      </c>
      <c r="Q14" s="51" t="s">
        <v>41</v>
      </c>
    </row>
    <row r="15" spans="1:17" x14ac:dyDescent="0.3">
      <c r="A15" s="14" t="s">
        <v>216</v>
      </c>
      <c r="B15" s="10">
        <v>14</v>
      </c>
      <c r="C15" s="45" t="s">
        <v>27</v>
      </c>
      <c r="D15" s="46" t="s">
        <v>11</v>
      </c>
      <c r="E15" s="47" t="s">
        <v>30</v>
      </c>
      <c r="F15" s="48" t="s">
        <v>67</v>
      </c>
      <c r="G15" s="48" t="s">
        <v>33</v>
      </c>
      <c r="H15" s="49" t="s">
        <v>33</v>
      </c>
      <c r="I15" s="49" t="s">
        <v>33</v>
      </c>
      <c r="J15" s="49" t="s">
        <v>33</v>
      </c>
      <c r="K15" s="50" t="s">
        <v>205</v>
      </c>
      <c r="L15" s="50" t="s">
        <v>34</v>
      </c>
      <c r="M15" s="50" t="s">
        <v>275</v>
      </c>
      <c r="N15" s="50" t="s">
        <v>277</v>
      </c>
      <c r="O15" s="50" t="s">
        <v>277</v>
      </c>
      <c r="P15" s="50" t="s">
        <v>33</v>
      </c>
      <c r="Q15" s="51" t="s">
        <v>285</v>
      </c>
    </row>
    <row r="16" spans="1:17" x14ac:dyDescent="0.3">
      <c r="A16" s="14" t="s">
        <v>216</v>
      </c>
      <c r="B16" s="10">
        <v>15</v>
      </c>
      <c r="C16" s="45" t="s">
        <v>28</v>
      </c>
      <c r="D16" s="46" t="s">
        <v>12</v>
      </c>
      <c r="E16" s="47" t="s">
        <v>30</v>
      </c>
      <c r="F16" s="48" t="s">
        <v>67</v>
      </c>
      <c r="G16" s="48" t="s">
        <v>33</v>
      </c>
      <c r="H16" s="49" t="s">
        <v>33</v>
      </c>
      <c r="I16" s="49" t="s">
        <v>33</v>
      </c>
      <c r="J16" s="49" t="s">
        <v>33</v>
      </c>
      <c r="K16" s="50" t="s">
        <v>206</v>
      </c>
      <c r="L16" s="50" t="s">
        <v>34</v>
      </c>
      <c r="M16" s="50" t="s">
        <v>275</v>
      </c>
      <c r="N16" s="50" t="s">
        <v>277</v>
      </c>
      <c r="O16" s="50" t="s">
        <v>277</v>
      </c>
      <c r="P16" s="50" t="s">
        <v>33</v>
      </c>
      <c r="Q16" s="51" t="s">
        <v>286</v>
      </c>
    </row>
    <row r="17" spans="1:17" x14ac:dyDescent="0.3">
      <c r="A17" s="14" t="s">
        <v>216</v>
      </c>
      <c r="B17" s="10">
        <v>16</v>
      </c>
      <c r="C17" s="45" t="s">
        <v>240</v>
      </c>
      <c r="D17" s="46" t="s">
        <v>13</v>
      </c>
      <c r="E17" s="47" t="s">
        <v>30</v>
      </c>
      <c r="F17" s="48" t="s">
        <v>67</v>
      </c>
      <c r="G17" s="48" t="s">
        <v>33</v>
      </c>
      <c r="H17" s="49" t="s">
        <v>33</v>
      </c>
      <c r="I17" s="49" t="s">
        <v>33</v>
      </c>
      <c r="J17" s="49" t="s">
        <v>33</v>
      </c>
      <c r="K17" s="50" t="s">
        <v>207</v>
      </c>
      <c r="L17" s="50" t="s">
        <v>33</v>
      </c>
      <c r="M17" s="50" t="s">
        <v>275</v>
      </c>
      <c r="N17" s="50" t="s">
        <v>277</v>
      </c>
      <c r="O17" s="50" t="s">
        <v>277</v>
      </c>
      <c r="P17" s="50" t="s">
        <v>33</v>
      </c>
      <c r="Q17" s="51" t="s">
        <v>44</v>
      </c>
    </row>
    <row r="18" spans="1:17" x14ac:dyDescent="0.3">
      <c r="A18" s="14" t="s">
        <v>216</v>
      </c>
      <c r="B18" s="10">
        <v>17</v>
      </c>
      <c r="C18" s="45" t="s">
        <v>241</v>
      </c>
      <c r="D18" s="46" t="s">
        <v>14</v>
      </c>
      <c r="E18" s="47" t="s">
        <v>30</v>
      </c>
      <c r="F18" s="48" t="s">
        <v>68</v>
      </c>
      <c r="G18" s="48" t="s">
        <v>34</v>
      </c>
      <c r="H18" s="49" t="s">
        <v>33</v>
      </c>
      <c r="I18" s="49" t="s">
        <v>33</v>
      </c>
      <c r="J18" s="49" t="s">
        <v>33</v>
      </c>
      <c r="K18" s="50" t="s">
        <v>207</v>
      </c>
      <c r="L18" s="50" t="s">
        <v>33</v>
      </c>
      <c r="M18" s="50" t="s">
        <v>275</v>
      </c>
      <c r="N18" s="50" t="s">
        <v>277</v>
      </c>
      <c r="O18" s="50" t="s">
        <v>277</v>
      </c>
      <c r="P18" s="50" t="s">
        <v>33</v>
      </c>
      <c r="Q18" s="51" t="s">
        <v>45</v>
      </c>
    </row>
    <row r="19" spans="1:17" x14ac:dyDescent="0.3">
      <c r="A19" s="14" t="s">
        <v>216</v>
      </c>
      <c r="B19" s="10">
        <v>18</v>
      </c>
      <c r="C19" s="45" t="s">
        <v>29</v>
      </c>
      <c r="D19" s="46" t="s">
        <v>7</v>
      </c>
      <c r="E19" s="47" t="s">
        <v>30</v>
      </c>
      <c r="F19" s="48" t="s">
        <v>60</v>
      </c>
      <c r="G19" s="48" t="s">
        <v>33</v>
      </c>
      <c r="H19" s="49" t="s">
        <v>33</v>
      </c>
      <c r="I19" s="49" t="s">
        <v>33</v>
      </c>
      <c r="J19" s="49" t="s">
        <v>33</v>
      </c>
      <c r="K19" s="50" t="s">
        <v>208</v>
      </c>
      <c r="L19" s="50" t="s">
        <v>34</v>
      </c>
      <c r="M19" s="50" t="s">
        <v>275</v>
      </c>
      <c r="N19" s="50" t="s">
        <v>277</v>
      </c>
      <c r="O19" s="50" t="s">
        <v>277</v>
      </c>
      <c r="P19" s="50" t="s">
        <v>33</v>
      </c>
      <c r="Q19" s="51" t="s">
        <v>287</v>
      </c>
    </row>
    <row r="20" spans="1:17" x14ac:dyDescent="0.3">
      <c r="A20" s="14" t="s">
        <v>216</v>
      </c>
      <c r="B20" s="10">
        <v>19</v>
      </c>
      <c r="C20" s="45" t="s">
        <v>242</v>
      </c>
      <c r="D20" s="46" t="s">
        <v>15</v>
      </c>
      <c r="E20" s="47" t="s">
        <v>31</v>
      </c>
      <c r="F20" s="48" t="s">
        <v>61</v>
      </c>
      <c r="G20" s="48" t="s">
        <v>33</v>
      </c>
      <c r="H20" s="49" t="s">
        <v>33</v>
      </c>
      <c r="I20" s="49" t="s">
        <v>33</v>
      </c>
      <c r="J20" s="49" t="s">
        <v>33</v>
      </c>
      <c r="K20" s="50" t="s">
        <v>207</v>
      </c>
      <c r="L20" s="50" t="s">
        <v>33</v>
      </c>
      <c r="M20" s="50" t="s">
        <v>274</v>
      </c>
      <c r="N20" s="50" t="s">
        <v>277</v>
      </c>
      <c r="O20" s="50" t="s">
        <v>277</v>
      </c>
      <c r="P20" s="50" t="s">
        <v>33</v>
      </c>
      <c r="Q20" s="51" t="s">
        <v>46</v>
      </c>
    </row>
    <row r="21" spans="1:17" x14ac:dyDescent="0.3">
      <c r="A21" s="14" t="s">
        <v>216</v>
      </c>
      <c r="B21" s="10">
        <v>20</v>
      </c>
      <c r="C21" s="45" t="s">
        <v>243</v>
      </c>
      <c r="D21" s="46" t="s">
        <v>16</v>
      </c>
      <c r="E21" s="47" t="s">
        <v>31</v>
      </c>
      <c r="F21" s="48" t="s">
        <v>61</v>
      </c>
      <c r="G21" s="48" t="s">
        <v>33</v>
      </c>
      <c r="H21" s="49" t="s">
        <v>33</v>
      </c>
      <c r="I21" s="49" t="s">
        <v>33</v>
      </c>
      <c r="J21" s="49" t="s">
        <v>33</v>
      </c>
      <c r="K21" s="50" t="s">
        <v>207</v>
      </c>
      <c r="L21" s="50" t="s">
        <v>33</v>
      </c>
      <c r="M21" s="50" t="s">
        <v>274</v>
      </c>
      <c r="N21" s="50" t="s">
        <v>277</v>
      </c>
      <c r="O21" s="50" t="s">
        <v>277</v>
      </c>
      <c r="P21" s="50" t="s">
        <v>33</v>
      </c>
      <c r="Q21" s="51" t="s">
        <v>47</v>
      </c>
    </row>
    <row r="22" spans="1:17" x14ac:dyDescent="0.3">
      <c r="A22" s="14" t="s">
        <v>216</v>
      </c>
      <c r="B22" s="10">
        <v>21</v>
      </c>
      <c r="C22" s="45" t="s">
        <v>244</v>
      </c>
      <c r="D22" s="46" t="s">
        <v>17</v>
      </c>
      <c r="E22" s="47" t="s">
        <v>31</v>
      </c>
      <c r="F22" s="48" t="s">
        <v>61</v>
      </c>
      <c r="G22" s="48" t="s">
        <v>33</v>
      </c>
      <c r="H22" s="49" t="s">
        <v>33</v>
      </c>
      <c r="I22" s="49" t="s">
        <v>34</v>
      </c>
      <c r="J22" s="49" t="s">
        <v>34</v>
      </c>
      <c r="K22" s="50" t="s">
        <v>207</v>
      </c>
      <c r="L22" s="50" t="s">
        <v>33</v>
      </c>
      <c r="M22" s="50" t="s">
        <v>274</v>
      </c>
      <c r="N22" s="50" t="s">
        <v>277</v>
      </c>
      <c r="O22" s="50" t="s">
        <v>277</v>
      </c>
      <c r="P22" s="50" t="s">
        <v>33</v>
      </c>
      <c r="Q22" s="51" t="s">
        <v>48</v>
      </c>
    </row>
    <row r="23" spans="1:17" x14ac:dyDescent="0.3">
      <c r="A23" s="14" t="s">
        <v>216</v>
      </c>
      <c r="B23" s="10">
        <v>22</v>
      </c>
      <c r="C23" s="45" t="s">
        <v>245</v>
      </c>
      <c r="D23" s="46" t="s">
        <v>18</v>
      </c>
      <c r="E23" s="47" t="s">
        <v>31</v>
      </c>
      <c r="F23" s="48" t="s">
        <v>69</v>
      </c>
      <c r="G23" s="48" t="s">
        <v>33</v>
      </c>
      <c r="H23" s="49" t="s">
        <v>33</v>
      </c>
      <c r="I23" s="49" t="s">
        <v>33</v>
      </c>
      <c r="J23" s="49" t="s">
        <v>33</v>
      </c>
      <c r="K23" s="50" t="s">
        <v>207</v>
      </c>
      <c r="L23" s="50" t="s">
        <v>33</v>
      </c>
      <c r="M23" s="50" t="s">
        <v>274</v>
      </c>
      <c r="N23" s="50" t="s">
        <v>277</v>
      </c>
      <c r="O23" s="50" t="s">
        <v>277</v>
      </c>
      <c r="P23" s="50" t="s">
        <v>33</v>
      </c>
      <c r="Q23" s="51" t="s">
        <v>49</v>
      </c>
    </row>
    <row r="24" spans="1:17" x14ac:dyDescent="0.3">
      <c r="A24" s="14" t="s">
        <v>216</v>
      </c>
      <c r="B24" s="10">
        <v>23</v>
      </c>
      <c r="C24" s="45" t="s">
        <v>246</v>
      </c>
      <c r="D24" s="46" t="s">
        <v>19</v>
      </c>
      <c r="E24" s="47" t="s">
        <v>32</v>
      </c>
      <c r="F24" s="48" t="s">
        <v>54</v>
      </c>
      <c r="G24" s="48" t="s">
        <v>33</v>
      </c>
      <c r="H24" s="49" t="s">
        <v>33</v>
      </c>
      <c r="I24" s="49" t="s">
        <v>33</v>
      </c>
      <c r="J24" s="49" t="s">
        <v>33</v>
      </c>
      <c r="K24" s="50" t="s">
        <v>207</v>
      </c>
      <c r="L24" s="50" t="s">
        <v>33</v>
      </c>
      <c r="M24" s="50" t="s">
        <v>274</v>
      </c>
      <c r="N24" s="50" t="s">
        <v>300</v>
      </c>
      <c r="O24" s="50" t="s">
        <v>301</v>
      </c>
      <c r="P24" s="50" t="s">
        <v>33</v>
      </c>
      <c r="Q24" s="51" t="s">
        <v>288</v>
      </c>
    </row>
    <row r="25" spans="1:17" x14ac:dyDescent="0.3">
      <c r="A25" s="14" t="s">
        <v>216</v>
      </c>
      <c r="B25" s="10">
        <v>24</v>
      </c>
      <c r="C25" s="45" t="s">
        <v>247</v>
      </c>
      <c r="D25" s="46" t="s">
        <v>20</v>
      </c>
      <c r="E25" s="47" t="s">
        <v>32</v>
      </c>
      <c r="F25" s="48" t="s">
        <v>70</v>
      </c>
      <c r="G25" s="48" t="s">
        <v>33</v>
      </c>
      <c r="H25" s="49" t="s">
        <v>33</v>
      </c>
      <c r="I25" s="49" t="s">
        <v>34</v>
      </c>
      <c r="J25" s="49" t="s">
        <v>33</v>
      </c>
      <c r="K25" s="50" t="s">
        <v>207</v>
      </c>
      <c r="L25" s="50" t="s">
        <v>33</v>
      </c>
      <c r="M25" s="50" t="s">
        <v>274</v>
      </c>
      <c r="N25" s="50" t="s">
        <v>300</v>
      </c>
      <c r="O25" s="50" t="s">
        <v>301</v>
      </c>
      <c r="P25" s="50" t="s">
        <v>33</v>
      </c>
      <c r="Q25" s="51" t="s">
        <v>289</v>
      </c>
    </row>
    <row r="26" spans="1:17" ht="28.8" x14ac:dyDescent="0.3">
      <c r="A26" s="14" t="s">
        <v>216</v>
      </c>
      <c r="B26" s="10">
        <v>25</v>
      </c>
      <c r="C26" s="45" t="s">
        <v>283</v>
      </c>
      <c r="D26" s="46" t="s">
        <v>284</v>
      </c>
      <c r="E26" s="47" t="s">
        <v>31</v>
      </c>
      <c r="F26" s="48" t="s">
        <v>56</v>
      </c>
      <c r="G26" s="48" t="s">
        <v>33</v>
      </c>
      <c r="H26" s="49" t="s">
        <v>33</v>
      </c>
      <c r="I26" s="49" t="s">
        <v>33</v>
      </c>
      <c r="J26" s="49" t="s">
        <v>33</v>
      </c>
      <c r="K26" s="53" t="s">
        <v>290</v>
      </c>
      <c r="L26" s="50" t="s">
        <v>34</v>
      </c>
      <c r="M26" s="50" t="s">
        <v>275</v>
      </c>
      <c r="N26" s="50" t="s">
        <v>277</v>
      </c>
      <c r="O26" s="50" t="s">
        <v>279</v>
      </c>
      <c r="P26" s="50" t="s">
        <v>34</v>
      </c>
      <c r="Q26" s="51" t="s">
        <v>291</v>
      </c>
    </row>
    <row r="27" spans="1:17" ht="43.2" x14ac:dyDescent="0.3">
      <c r="A27" s="14" t="s">
        <v>216</v>
      </c>
      <c r="B27" s="10">
        <v>26</v>
      </c>
      <c r="C27" s="45" t="s">
        <v>231</v>
      </c>
      <c r="D27" s="46" t="s">
        <v>218</v>
      </c>
      <c r="E27" s="47" t="s">
        <v>30</v>
      </c>
      <c r="F27" s="48" t="s">
        <v>57</v>
      </c>
      <c r="G27" s="48" t="s">
        <v>33</v>
      </c>
      <c r="H27" s="49" t="s">
        <v>33</v>
      </c>
      <c r="I27" s="49" t="s">
        <v>33</v>
      </c>
      <c r="J27" s="49" t="s">
        <v>33</v>
      </c>
      <c r="K27" s="50" t="s">
        <v>207</v>
      </c>
      <c r="L27" s="50" t="s">
        <v>33</v>
      </c>
      <c r="M27" s="50" t="s">
        <v>275</v>
      </c>
      <c r="N27" s="50" t="s">
        <v>278</v>
      </c>
      <c r="O27" s="50" t="s">
        <v>279</v>
      </c>
      <c r="P27" s="50" t="s">
        <v>34</v>
      </c>
      <c r="Q27" s="51" t="s">
        <v>292</v>
      </c>
    </row>
    <row r="28" spans="1:17" x14ac:dyDescent="0.3">
      <c r="A28" s="14" t="s">
        <v>216</v>
      </c>
      <c r="B28" s="10">
        <v>27</v>
      </c>
      <c r="C28" s="45" t="s">
        <v>248</v>
      </c>
      <c r="D28" s="46" t="s">
        <v>282</v>
      </c>
      <c r="E28" s="47" t="s">
        <v>30</v>
      </c>
      <c r="F28" s="48" t="s">
        <v>56</v>
      </c>
      <c r="G28" s="48" t="s">
        <v>34</v>
      </c>
      <c r="H28" s="49" t="s">
        <v>33</v>
      </c>
      <c r="I28" s="49" t="s">
        <v>33</v>
      </c>
      <c r="J28" s="49" t="s">
        <v>33</v>
      </c>
      <c r="K28" s="50" t="s">
        <v>207</v>
      </c>
      <c r="L28" s="50" t="s">
        <v>33</v>
      </c>
      <c r="M28" s="50" t="s">
        <v>275</v>
      </c>
      <c r="N28" s="50" t="s">
        <v>278</v>
      </c>
      <c r="O28" s="50" t="s">
        <v>279</v>
      </c>
      <c r="P28" s="50" t="s">
        <v>34</v>
      </c>
      <c r="Q28" s="51" t="s">
        <v>293</v>
      </c>
    </row>
    <row r="29" spans="1:17" x14ac:dyDescent="0.3">
      <c r="A29" s="14" t="s">
        <v>216</v>
      </c>
      <c r="B29" s="10">
        <v>28</v>
      </c>
      <c r="C29" s="45" t="s">
        <v>249</v>
      </c>
      <c r="D29" s="46" t="s">
        <v>26</v>
      </c>
      <c r="E29" s="47" t="s">
        <v>30</v>
      </c>
      <c r="F29" s="48" t="s">
        <v>56</v>
      </c>
      <c r="G29" s="48" t="s">
        <v>33</v>
      </c>
      <c r="H29" s="49" t="s">
        <v>34</v>
      </c>
      <c r="I29" s="49" t="s">
        <v>33</v>
      </c>
      <c r="J29" s="49" t="s">
        <v>33</v>
      </c>
      <c r="K29" s="50" t="s">
        <v>207</v>
      </c>
      <c r="L29" s="50" t="s">
        <v>33</v>
      </c>
      <c r="M29" s="50" t="s">
        <v>275</v>
      </c>
      <c r="N29" s="50" t="s">
        <v>278</v>
      </c>
      <c r="O29" s="50" t="s">
        <v>279</v>
      </c>
      <c r="P29" s="50" t="s">
        <v>34</v>
      </c>
      <c r="Q29" s="51" t="s">
        <v>53</v>
      </c>
    </row>
    <row r="30" spans="1:17" hidden="1" x14ac:dyDescent="0.3">
      <c r="A30" s="14" t="s">
        <v>217</v>
      </c>
      <c r="B30" s="10">
        <v>6</v>
      </c>
      <c r="C30" s="45" t="s">
        <v>237</v>
      </c>
      <c r="D30" s="46" t="s">
        <v>228</v>
      </c>
      <c r="E30" s="47" t="s">
        <v>30</v>
      </c>
      <c r="F30" s="48" t="s">
        <v>226</v>
      </c>
      <c r="G30" s="48" t="s">
        <v>34</v>
      </c>
      <c r="H30" s="49" t="s">
        <v>33</v>
      </c>
      <c r="I30" s="49" t="s">
        <v>34</v>
      </c>
      <c r="J30" s="49" t="s">
        <v>33</v>
      </c>
      <c r="K30" s="50" t="s">
        <v>207</v>
      </c>
      <c r="L30" s="50" t="s">
        <v>33</v>
      </c>
      <c r="M30" s="50" t="s">
        <v>275</v>
      </c>
      <c r="N30" s="50" t="s">
        <v>277</v>
      </c>
      <c r="O30" s="50" t="s">
        <v>279</v>
      </c>
      <c r="P30" s="50" t="s">
        <v>33</v>
      </c>
      <c r="Q30" s="51" t="s">
        <v>227</v>
      </c>
    </row>
    <row r="31" spans="1:17" hidden="1" x14ac:dyDescent="0.3">
      <c r="A31" s="14" t="s">
        <v>217</v>
      </c>
      <c r="B31" s="10">
        <v>7</v>
      </c>
      <c r="C31" s="45" t="s">
        <v>260</v>
      </c>
      <c r="D31" s="46" t="s">
        <v>21</v>
      </c>
      <c r="E31" s="47" t="s">
        <v>32</v>
      </c>
      <c r="F31" s="48" t="s">
        <v>71</v>
      </c>
      <c r="G31" s="48" t="s">
        <v>33</v>
      </c>
      <c r="H31" s="49" t="s">
        <v>33</v>
      </c>
      <c r="I31" s="49" t="s">
        <v>33</v>
      </c>
      <c r="J31" s="49" t="s">
        <v>33</v>
      </c>
      <c r="K31" s="50" t="s">
        <v>207</v>
      </c>
      <c r="L31" s="50" t="s">
        <v>33</v>
      </c>
      <c r="M31" s="50" t="s">
        <v>274</v>
      </c>
      <c r="N31" s="50" t="s">
        <v>277</v>
      </c>
      <c r="O31" s="50" t="s">
        <v>277</v>
      </c>
      <c r="P31" s="50" t="s">
        <v>33</v>
      </c>
      <c r="Q31" s="51" t="s">
        <v>50</v>
      </c>
    </row>
    <row r="32" spans="1:17" hidden="1" x14ac:dyDescent="0.3">
      <c r="A32" s="14" t="s">
        <v>217</v>
      </c>
      <c r="B32" s="10">
        <v>8</v>
      </c>
      <c r="C32" s="45" t="s">
        <v>261</v>
      </c>
      <c r="D32" s="46" t="s">
        <v>22</v>
      </c>
      <c r="E32" s="47" t="s">
        <v>32</v>
      </c>
      <c r="F32" s="48" t="s">
        <v>54</v>
      </c>
      <c r="G32" s="48" t="s">
        <v>33</v>
      </c>
      <c r="H32" s="49" t="s">
        <v>33</v>
      </c>
      <c r="I32" s="49" t="s">
        <v>34</v>
      </c>
      <c r="J32" s="49" t="s">
        <v>34</v>
      </c>
      <c r="K32" s="50" t="s">
        <v>207</v>
      </c>
      <c r="L32" s="50" t="s">
        <v>33</v>
      </c>
      <c r="M32" s="50" t="s">
        <v>274</v>
      </c>
      <c r="N32" s="50" t="s">
        <v>300</v>
      </c>
      <c r="O32" s="50" t="s">
        <v>301</v>
      </c>
      <c r="P32" s="50" t="s">
        <v>33</v>
      </c>
      <c r="Q32" s="51" t="s">
        <v>294</v>
      </c>
    </row>
    <row r="33" spans="1:17" hidden="1" x14ac:dyDescent="0.3">
      <c r="A33" s="14" t="s">
        <v>217</v>
      </c>
      <c r="B33" s="10">
        <v>9</v>
      </c>
      <c r="C33" s="45" t="s">
        <v>262</v>
      </c>
      <c r="D33" s="46" t="s">
        <v>23</v>
      </c>
      <c r="E33" s="47" t="s">
        <v>32</v>
      </c>
      <c r="F33" s="48" t="s">
        <v>70</v>
      </c>
      <c r="G33" s="48" t="s">
        <v>33</v>
      </c>
      <c r="H33" s="49" t="s">
        <v>33</v>
      </c>
      <c r="I33" s="49" t="s">
        <v>34</v>
      </c>
      <c r="J33" s="49" t="s">
        <v>34</v>
      </c>
      <c r="K33" s="50" t="s">
        <v>207</v>
      </c>
      <c r="L33" s="50" t="s">
        <v>33</v>
      </c>
      <c r="M33" s="50" t="s">
        <v>274</v>
      </c>
      <c r="N33" s="50" t="s">
        <v>300</v>
      </c>
      <c r="O33" s="50" t="s">
        <v>301</v>
      </c>
      <c r="P33" s="50" t="s">
        <v>33</v>
      </c>
      <c r="Q33" s="51" t="s">
        <v>295</v>
      </c>
    </row>
    <row r="34" spans="1:17" hidden="1" x14ac:dyDescent="0.3">
      <c r="A34" s="14" t="s">
        <v>217</v>
      </c>
      <c r="B34" s="10">
        <v>10</v>
      </c>
      <c r="C34" s="45" t="s">
        <v>263</v>
      </c>
      <c r="D34" s="46" t="s">
        <v>35</v>
      </c>
      <c r="E34" s="47" t="s">
        <v>32</v>
      </c>
      <c r="F34" s="48" t="s">
        <v>72</v>
      </c>
      <c r="G34" s="48" t="s">
        <v>33</v>
      </c>
      <c r="H34" s="49" t="s">
        <v>33</v>
      </c>
      <c r="I34" s="49" t="s">
        <v>33</v>
      </c>
      <c r="J34" s="49" t="s">
        <v>34</v>
      </c>
      <c r="K34" s="50" t="s">
        <v>207</v>
      </c>
      <c r="L34" s="50" t="s">
        <v>33</v>
      </c>
      <c r="M34" s="50" t="s">
        <v>274</v>
      </c>
      <c r="N34" s="50" t="s">
        <v>300</v>
      </c>
      <c r="O34" s="50" t="s">
        <v>301</v>
      </c>
      <c r="P34" s="50" t="s">
        <v>33</v>
      </c>
      <c r="Q34" s="51" t="s">
        <v>51</v>
      </c>
    </row>
    <row r="35" spans="1:17" hidden="1" x14ac:dyDescent="0.3">
      <c r="A35" s="14" t="s">
        <v>217</v>
      </c>
      <c r="B35" s="10">
        <v>11</v>
      </c>
      <c r="C35" s="45" t="s">
        <v>264</v>
      </c>
      <c r="D35" s="46" t="s">
        <v>36</v>
      </c>
      <c r="E35" s="47" t="s">
        <v>32</v>
      </c>
      <c r="F35" s="48" t="s">
        <v>54</v>
      </c>
      <c r="G35" s="48" t="s">
        <v>33</v>
      </c>
      <c r="H35" s="49" t="s">
        <v>33</v>
      </c>
      <c r="I35" s="49" t="s">
        <v>34</v>
      </c>
      <c r="J35" s="49" t="s">
        <v>34</v>
      </c>
      <c r="K35" s="50" t="s">
        <v>207</v>
      </c>
      <c r="L35" s="50" t="s">
        <v>33</v>
      </c>
      <c r="M35" s="50" t="s">
        <v>274</v>
      </c>
      <c r="N35" s="50" t="s">
        <v>300</v>
      </c>
      <c r="O35" s="50" t="s">
        <v>301</v>
      </c>
      <c r="P35" s="50" t="s">
        <v>33</v>
      </c>
      <c r="Q35" s="51" t="s">
        <v>52</v>
      </c>
    </row>
    <row r="36" spans="1:17" ht="28.8" hidden="1" x14ac:dyDescent="0.3">
      <c r="A36" s="14" t="s">
        <v>217</v>
      </c>
      <c r="B36" s="10">
        <v>12</v>
      </c>
      <c r="C36" s="45" t="s">
        <v>265</v>
      </c>
      <c r="D36" s="46" t="s">
        <v>58</v>
      </c>
      <c r="E36" s="47" t="s">
        <v>30</v>
      </c>
      <c r="F36" s="48" t="s">
        <v>59</v>
      </c>
      <c r="G36" s="48" t="s">
        <v>33</v>
      </c>
      <c r="H36" s="49" t="s">
        <v>34</v>
      </c>
      <c r="I36" s="49" t="s">
        <v>33</v>
      </c>
      <c r="J36" s="49" t="s">
        <v>33</v>
      </c>
      <c r="K36" s="50" t="s">
        <v>207</v>
      </c>
      <c r="L36" s="50" t="s">
        <v>33</v>
      </c>
      <c r="M36" s="50"/>
      <c r="N36" s="50"/>
      <c r="O36" s="50"/>
      <c r="P36" s="50" t="s">
        <v>34</v>
      </c>
      <c r="Q36" s="51" t="s">
        <v>296</v>
      </c>
    </row>
    <row r="37" spans="1:17" hidden="1" x14ac:dyDescent="0.3">
      <c r="A37" s="14" t="s">
        <v>217</v>
      </c>
      <c r="B37" s="10">
        <v>13</v>
      </c>
      <c r="C37" s="45" t="s">
        <v>266</v>
      </c>
      <c r="D37" s="46" t="s">
        <v>24</v>
      </c>
      <c r="E37" s="47" t="s">
        <v>32</v>
      </c>
      <c r="F37" s="48" t="s">
        <v>70</v>
      </c>
      <c r="G37" s="48" t="s">
        <v>33</v>
      </c>
      <c r="H37" s="49" t="s">
        <v>33</v>
      </c>
      <c r="I37" s="49" t="s">
        <v>34</v>
      </c>
      <c r="J37" s="49" t="s">
        <v>34</v>
      </c>
      <c r="K37" s="50" t="s">
        <v>207</v>
      </c>
      <c r="L37" s="50" t="s">
        <v>33</v>
      </c>
      <c r="M37" s="50" t="s">
        <v>274</v>
      </c>
      <c r="N37" s="50" t="s">
        <v>300</v>
      </c>
      <c r="O37" s="50" t="s">
        <v>301</v>
      </c>
      <c r="P37" s="50" t="s">
        <v>33</v>
      </c>
      <c r="Q37" s="51" t="s">
        <v>297</v>
      </c>
    </row>
    <row r="38" spans="1:17" hidden="1" x14ac:dyDescent="0.3">
      <c r="A38" s="14" t="s">
        <v>217</v>
      </c>
      <c r="B38" s="10">
        <v>14</v>
      </c>
      <c r="C38" s="45" t="s">
        <v>209</v>
      </c>
      <c r="D38" s="46" t="s">
        <v>25</v>
      </c>
      <c r="E38" s="47" t="s">
        <v>32</v>
      </c>
      <c r="F38" s="48" t="s">
        <v>73</v>
      </c>
      <c r="G38" s="48" t="s">
        <v>33</v>
      </c>
      <c r="H38" s="49" t="s">
        <v>33</v>
      </c>
      <c r="I38" s="49" t="s">
        <v>34</v>
      </c>
      <c r="J38" s="49" t="s">
        <v>34</v>
      </c>
      <c r="K38" s="50" t="s">
        <v>207</v>
      </c>
      <c r="L38" s="50" t="s">
        <v>33</v>
      </c>
      <c r="M38" s="50" t="s">
        <v>274</v>
      </c>
      <c r="N38" s="50" t="s">
        <v>300</v>
      </c>
      <c r="O38" s="50" t="s">
        <v>301</v>
      </c>
      <c r="P38" s="50" t="s">
        <v>33</v>
      </c>
      <c r="Q38" s="51" t="s">
        <v>298</v>
      </c>
    </row>
    <row r="39" spans="1:17" ht="28.8" hidden="1" x14ac:dyDescent="0.3">
      <c r="A39" s="14" t="s">
        <v>217</v>
      </c>
      <c r="B39" s="10">
        <v>15</v>
      </c>
      <c r="C39" s="45" t="s">
        <v>267</v>
      </c>
      <c r="D39" s="46" t="s">
        <v>221</v>
      </c>
      <c r="E39" s="47" t="s">
        <v>31</v>
      </c>
      <c r="F39" s="48" t="s">
        <v>212</v>
      </c>
      <c r="G39" s="48" t="s">
        <v>33</v>
      </c>
      <c r="H39" s="49" t="s">
        <v>33</v>
      </c>
      <c r="I39" s="49" t="s">
        <v>33</v>
      </c>
      <c r="J39" s="49" t="s">
        <v>34</v>
      </c>
      <c r="K39" s="50" t="s">
        <v>207</v>
      </c>
      <c r="L39" s="50" t="s">
        <v>33</v>
      </c>
      <c r="M39" s="50" t="s">
        <v>275</v>
      </c>
      <c r="N39" s="50" t="s">
        <v>277</v>
      </c>
      <c r="O39" s="50" t="s">
        <v>277</v>
      </c>
      <c r="P39" s="50" t="s">
        <v>33</v>
      </c>
      <c r="Q39" s="51" t="s">
        <v>213</v>
      </c>
    </row>
    <row r="40" spans="1:17" hidden="1" x14ac:dyDescent="0.3">
      <c r="A40" s="14" t="s">
        <v>217</v>
      </c>
      <c r="B40" s="10">
        <v>16</v>
      </c>
      <c r="C40" s="54" t="s">
        <v>394</v>
      </c>
      <c r="D40" s="46" t="s">
        <v>493</v>
      </c>
      <c r="E40" s="47" t="s">
        <v>30</v>
      </c>
      <c r="F40" s="52" t="s">
        <v>66</v>
      </c>
      <c r="G40" s="48" t="s">
        <v>33</v>
      </c>
      <c r="H40" s="49" t="s">
        <v>33</v>
      </c>
      <c r="I40" s="49" t="s">
        <v>33</v>
      </c>
      <c r="J40" s="49" t="s">
        <v>33</v>
      </c>
      <c r="K40" s="50" t="s">
        <v>207</v>
      </c>
      <c r="L40" s="50" t="s">
        <v>34</v>
      </c>
      <c r="M40" s="50" t="s">
        <v>275</v>
      </c>
      <c r="N40" s="50" t="s">
        <v>277</v>
      </c>
      <c r="O40" s="50" t="s">
        <v>277</v>
      </c>
      <c r="P40" s="50" t="s">
        <v>33</v>
      </c>
      <c r="Q40" s="51" t="s">
        <v>494</v>
      </c>
    </row>
    <row r="41" spans="1:17" hidden="1" x14ac:dyDescent="0.3">
      <c r="A41" s="14" t="s">
        <v>217</v>
      </c>
      <c r="B41" s="10">
        <v>17</v>
      </c>
      <c r="C41" s="45" t="s">
        <v>497</v>
      </c>
      <c r="D41" s="46" t="s">
        <v>10</v>
      </c>
      <c r="E41" s="47" t="s">
        <v>30</v>
      </c>
      <c r="F41" s="52" t="s">
        <v>66</v>
      </c>
      <c r="G41" s="48" t="s">
        <v>33</v>
      </c>
      <c r="H41" s="49" t="s">
        <v>33</v>
      </c>
      <c r="I41" s="49" t="s">
        <v>33</v>
      </c>
      <c r="J41" s="49" t="s">
        <v>33</v>
      </c>
      <c r="K41" s="50" t="s">
        <v>207</v>
      </c>
      <c r="L41" s="50" t="s">
        <v>34</v>
      </c>
      <c r="M41" s="50" t="s">
        <v>275</v>
      </c>
      <c r="N41" s="50" t="s">
        <v>277</v>
      </c>
      <c r="O41" s="50" t="s">
        <v>277</v>
      </c>
      <c r="P41" s="50" t="s">
        <v>33</v>
      </c>
      <c r="Q41" s="51" t="s">
        <v>495</v>
      </c>
    </row>
    <row r="42" spans="1:17" ht="28.8" hidden="1" x14ac:dyDescent="0.3">
      <c r="A42" s="14" t="s">
        <v>217</v>
      </c>
      <c r="B42" s="10">
        <v>18</v>
      </c>
      <c r="C42" s="45" t="s">
        <v>268</v>
      </c>
      <c r="D42" s="46" t="s">
        <v>222</v>
      </c>
      <c r="E42" s="47" t="s">
        <v>30</v>
      </c>
      <c r="F42" s="48" t="s">
        <v>203</v>
      </c>
      <c r="G42" s="48" t="s">
        <v>33</v>
      </c>
      <c r="H42" s="49" t="s">
        <v>34</v>
      </c>
      <c r="I42" s="49" t="s">
        <v>33</v>
      </c>
      <c r="J42" s="49" t="s">
        <v>33</v>
      </c>
      <c r="K42" s="50" t="s">
        <v>207</v>
      </c>
      <c r="L42" s="50" t="s">
        <v>33</v>
      </c>
      <c r="M42" s="50"/>
      <c r="N42" s="50"/>
      <c r="O42" s="50"/>
      <c r="P42" s="50" t="s">
        <v>34</v>
      </c>
      <c r="Q42" s="51" t="s">
        <v>299</v>
      </c>
    </row>
  </sheetData>
  <phoneticPr fontId="19" type="noConversion"/>
  <conditionalFormatting sqref="G2:G42">
    <cfRule type="expression" dxfId="38" priority="5">
      <formula>IF($G2="true",1,0)</formula>
    </cfRule>
  </conditionalFormatting>
  <conditionalFormatting sqref="H2:H42">
    <cfRule type="expression" dxfId="37" priority="7">
      <formula>IF($H2="true",1,0)</formula>
    </cfRule>
  </conditionalFormatting>
  <conditionalFormatting sqref="I2:I42">
    <cfRule type="cellIs" dxfId="36" priority="2" operator="equal">
      <formula>"true"</formula>
    </cfRule>
  </conditionalFormatting>
  <conditionalFormatting sqref="J2:J42">
    <cfRule type="expression" dxfId="35" priority="6">
      <formula>IF($J2="true",1,0)</formula>
    </cfRule>
  </conditionalFormatting>
  <conditionalFormatting sqref="K2:K42">
    <cfRule type="expression" dxfId="34" priority="4">
      <formula>IF($K2&lt;&gt;"none",1,0)</formula>
    </cfRule>
  </conditionalFormatting>
  <conditionalFormatting sqref="L2:L42">
    <cfRule type="expression" dxfId="33" priority="3">
      <formula>IF($L2="true",1,0)</formula>
    </cfRule>
  </conditionalFormatting>
  <dataValidations disablePrompts="1" count="6">
    <dataValidation type="list" showInputMessage="1" showErrorMessage="1" sqref="O11 N2:N42" xr:uid="{D390489B-D2EC-4169-BF55-4C0809B0690B}">
      <formula1>"up,center,down,"</formula1>
    </dataValidation>
    <dataValidation type="list" allowBlank="1" showInputMessage="1" showErrorMessage="1" sqref="O2:O10 O12:O42" xr:uid="{B4E8464F-798E-4996-B186-9C5B74FDE85A}">
      <formula1>"left,center,right,"</formula1>
    </dataValidation>
    <dataValidation type="list" showInputMessage="1" showErrorMessage="1" sqref="E2:E42" xr:uid="{92C8B38C-AE75-485D-BA39-38E679C69393}">
      <formula1>"text,int,float,bool,"</formula1>
    </dataValidation>
    <dataValidation type="list" showInputMessage="1" showErrorMessage="1" sqref="G2:J42 L2:L42" xr:uid="{DBEE043F-7460-4994-BFBF-9ADEB36E8C6E}">
      <formula1>"false,true,"</formula1>
    </dataValidation>
    <dataValidation type="list" allowBlank="1" showInputMessage="1" showErrorMessage="1" sqref="P2:P42" xr:uid="{70C4688D-8356-4AE9-8CF4-88699F7CA265}">
      <formula1>"false,true,"</formula1>
    </dataValidation>
    <dataValidation type="list" showInputMessage="1" showErrorMessage="1" sqref="M2:M42" xr:uid="{50BB42E0-455E-464F-9584-035F3278DBCA}">
      <formula1>"Числовой,Текстовый,Общий,"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2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0.44140625" customWidth="1"/>
    <col min="2" max="2" width="33.44140625" style="2" customWidth="1"/>
    <col min="3" max="3" width="88.109375" customWidth="1"/>
    <col min="4" max="4" width="59.5546875" customWidth="1"/>
  </cols>
  <sheetData>
    <row r="1" spans="1:4" x14ac:dyDescent="0.3">
      <c r="A1" s="1" t="s">
        <v>3</v>
      </c>
      <c r="B1" s="1" t="s">
        <v>1</v>
      </c>
      <c r="C1" s="3" t="s">
        <v>2</v>
      </c>
      <c r="D1" s="4" t="s">
        <v>0</v>
      </c>
    </row>
    <row r="2" spans="1:4" x14ac:dyDescent="0.3">
      <c r="A2" s="7"/>
      <c r="B2" s="6"/>
      <c r="C2" s="8"/>
      <c r="D2" s="5"/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 xsi:nil="true"/>
    <TaxCatchAll xmlns="00626a45-2e8b-44e2-b2b6-fb30aea60018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>=5G=0O B>G:0>=5G=0O B>G:0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customXml/itemProps3.xml><?xml version="1.0" encoding="utf-8"?>
<ds:datastoreItem xmlns:ds="http://schemas.openxmlformats.org/officeDocument/2006/customXml" ds:itemID="{BEFD5417-6C9B-4484-B9FA-AD6C08857211}">
  <ds:schemaRefs/>
</ds:datastoreItem>
</file>

<file path=customXml/itemProps4.xml><?xml version="1.0" encoding="utf-8"?>
<ds:datastoreItem xmlns:ds="http://schemas.openxmlformats.org/officeDocument/2006/customXml" ds:itemID="{76690773-6F00-477C-A914-3ED7D15F6F95}">
  <ds:schemaRefs/>
</ds:datastoreItem>
</file>

<file path=customXml/itemProps5.xml><?xml version="1.0" encoding="utf-8"?>
<ds:datastoreItem xmlns:ds="http://schemas.openxmlformats.org/officeDocument/2006/customXml" ds:itemID="{4F428D2F-958C-4F90-BAE5-DE993D97C453}">
  <ds:schemaRefs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00626a45-2e8b-44e2-b2b6-fb30aea60018"/>
    <ds:schemaRef ds:uri="9d226c47-cd18-4964-9161-6ccb92249125"/>
    <ds:schemaRef ds:uri="http://schemas.microsoft.com/office/2006/metadata/properties"/>
  </ds:schemaRefs>
</ds:datastoreItem>
</file>

<file path=customXml/itemProps6.xml><?xml version="1.0" encoding="utf-8"?>
<ds:datastoreItem xmlns:ds="http://schemas.openxmlformats.org/officeDocument/2006/customXml" ds:itemID="{F3A1402B-BE07-46A2-BAA7-9AC352A3FA91}">
  <ds:schemaRefs/>
</ds:datastoreItem>
</file>

<file path=customXml/itemProps7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9.xml><?xml version="1.0" encoding="utf-8"?>
<ds:datastoreItem xmlns:ds="http://schemas.openxmlformats.org/officeDocument/2006/customXml" ds:itemID="{F59D988E-CCBF-4B04-B557-F52EF1998916}">
  <ds:schemaRefs/>
</ds:datastoreItem>
</file>

<file path=customXml/itemProps10.xml><?xml version="1.0" encoding="utf-8"?>
<ds:datastoreItem xmlns:ds="http://schemas.openxmlformats.org/officeDocument/2006/customXml" ds:itemID="{27164862-B4D0-42ED-B65B-7BFA235BB597}">
  <ds:schemaRefs/>
</ds:datastoreItem>
</file>

<file path=customXml/itemProps11.xml><?xml version="1.0" encoding="utf-8"?>
<ds:datastoreItem xmlns:ds="http://schemas.openxmlformats.org/officeDocument/2006/customXml" ds:itemID="{990A2903-C01D-4B4F-975E-D448D0E1A565}">
  <ds:schemaRefs/>
</ds:datastoreItem>
</file>

<file path=customXml/itemProps12.xml><?xml version="1.0" encoding="utf-8"?>
<ds:datastoreItem xmlns:ds="http://schemas.openxmlformats.org/officeDocument/2006/customXml" ds:itemID="{CE1858E8-BA2D-4875-9272-28444F7693F6}">
  <ds:schemaRefs/>
</ds:datastoreItem>
</file>

<file path=customXml/itemProps13.xml><?xml version="1.0" encoding="utf-8"?>
<ds:datastoreItem xmlns:ds="http://schemas.openxmlformats.org/officeDocument/2006/customXml" ds:itemID="{05CC793E-835C-4C69-85A1-4B17AEF3B23A}">
  <ds:schemaRefs/>
</ds:datastoreItem>
</file>

<file path=customXml/itemProps14.xml><?xml version="1.0" encoding="utf-8"?>
<ds:datastoreItem xmlns:ds="http://schemas.openxmlformats.org/officeDocument/2006/customXml" ds:itemID="{2E2374CD-0C5A-429C-B090-58ED1E60F259}">
  <ds:schemaRefs/>
</ds:datastoreItem>
</file>

<file path=customXml/itemProps15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16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CCD3C4FF-65BF-403E-94C5-A7CC9DB96C19}">
  <ds:schemaRefs/>
</ds:datastoreItem>
</file>

<file path=customXml/itemProps18.xml><?xml version="1.0" encoding="utf-8"?>
<ds:datastoreItem xmlns:ds="http://schemas.openxmlformats.org/officeDocument/2006/customXml" ds:itemID="{22398727-A402-4C12-A809-6661EE9DF75C}">
  <ds:schemaRefs/>
</ds:datastoreItem>
</file>

<file path=customXml/itemProps19.xml><?xml version="1.0" encoding="utf-8"?>
<ds:datastoreItem xmlns:ds="http://schemas.openxmlformats.org/officeDocument/2006/customXml" ds:itemID="{CBBC371F-D438-4E26-899A-F00123216BBA}">
  <ds:schemaRefs/>
</ds:datastoreItem>
</file>

<file path=customXml/itemProps20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customXml/itemProps21.xml><?xml version="1.0" encoding="utf-8"?>
<ds:datastoreItem xmlns:ds="http://schemas.openxmlformats.org/officeDocument/2006/customXml" ds:itemID="{2D1A7F6C-22DE-409F-8641-762CA85EFA7F}">
  <ds:schemaRefs/>
</ds:datastoreItem>
</file>

<file path=customXml/itemProps22.xml><?xml version="1.0" encoding="utf-8"?>
<ds:datastoreItem xmlns:ds="http://schemas.openxmlformats.org/officeDocument/2006/customXml" ds:itemID="{690A8823-0FA6-4C6D-8530-3313241E28BF}">
  <ds:schemaRefs/>
</ds:datastoreItem>
</file>

<file path=customXml/itemProps23.xml><?xml version="1.0" encoding="utf-8"?>
<ds:datastoreItem xmlns:ds="http://schemas.openxmlformats.org/officeDocument/2006/customXml" ds:itemID="{51580B3B-1C2D-4B17-A644-F5A72DFBE2C9}">
  <ds:schemaRefs/>
</ds:datastoreItem>
</file>

<file path=customXml/itemProps24.xml><?xml version="1.0" encoding="utf-8"?>
<ds:datastoreItem xmlns:ds="http://schemas.openxmlformats.org/officeDocument/2006/customXml" ds:itemID="{620C677B-6476-4AB2-82D8-06CF3B1D2316}">
  <ds:schemaRefs/>
</ds:datastoreItem>
</file>

<file path=customXml/itemProps25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SpecificationWork_1</vt:lpstr>
      <vt:lpstr>SpecificationWork_2</vt:lpstr>
      <vt:lpstr>Pivot</vt:lpstr>
      <vt:lpstr>HandbookProject</vt:lpstr>
      <vt:lpstr>HandbookBrand</vt:lpstr>
      <vt:lpstr>HandbookSupplier</vt:lpstr>
      <vt:lpstr>HandbookUnit</vt:lpstr>
      <vt:lpstr>TableSchema</vt:lpstr>
      <vt:lpstr>ConfigJSON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</dc:creator>
  <cp:keywords/>
  <dc:description/>
  <cp:lastModifiedBy>Иван Кукушкин</cp:lastModifiedBy>
  <cp:revision/>
  <dcterms:created xsi:type="dcterms:W3CDTF">2023-07-03T07:42:32Z</dcterms:created>
  <dcterms:modified xsi:type="dcterms:W3CDTF">2025-10-15T09:45:57Z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