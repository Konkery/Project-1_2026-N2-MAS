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PowerQueryScript/Test/"/>
    </mc:Choice>
  </mc:AlternateContent>
  <xr:revisionPtr revIDLastSave="4421" documentId="8_{4CB8D776-9D13-4DE4-B756-EA1E70EA4EDB}" xr6:coauthVersionLast="47" xr6:coauthVersionMax="47" xr10:uidLastSave="{4FCB3F55-E0AF-4214-A92C-21EE3E28AC51}"/>
  <bookViews>
    <workbookView xWindow="3060" yWindow="375" windowWidth="24255" windowHeight="14730" tabRatio="692" firstSheet="1" activeTab="6" xr2:uid="{00000000-000D-0000-FFFF-FFFF00000000}"/>
  </bookViews>
  <sheets>
    <sheet name="LLCList" sheetId="7" r:id="rId1"/>
    <sheet name="EmployeeList" sheetId="1" r:id="rId2"/>
    <sheet name="EmploeeComm" sheetId="8" r:id="rId3"/>
    <sheet name="EmploeePersonal" sheetId="9" r:id="rId4"/>
    <sheet name="HandBookPost" sheetId="3" r:id="rId5"/>
    <sheet name="TableSchema" sheetId="18" r:id="rId6"/>
    <sheet name="ConfigJSON" sheetId="17" r:id="rId7"/>
  </sheets>
  <definedNames>
    <definedName name="_xlcn.WorksheetConnection_СотрудникиМАСrev.03v03.xlsxTabDepartament" hidden="1">TabDepartament</definedName>
    <definedName name="_xlcn.WorksheetConnection_СотрудникиМАСrev.03v03.xlsxTabEmployeeList" hidden="1">TabEmployeeList[]</definedName>
    <definedName name="_xlcn.WorksheetConnection_СотрудникиМАСrev.03v03.xlsxTabPost" hidden="1">TabPost[]</definedName>
    <definedName name="ExternalData_1" localSheetId="2" hidden="1">EmploeeComm!#REF!</definedName>
    <definedName name="ExternalData_1" localSheetId="0" hidden="1">LLCList!#REF!</definedName>
    <definedName name="ExternalData_2" localSheetId="2" hidden="1">EmploeeComm!#REF!</definedName>
    <definedName name="ExternalData_2" localSheetId="0" hidden="1">LLCList!#REF!</definedName>
    <definedName name="ExternalData_3" localSheetId="2" hidden="1">EmploeeComm!#REF!</definedName>
    <definedName name="ExternalData_3" localSheetId="0" hidden="1">LLCList!#REF!</definedName>
    <definedName name="ExternalData_4" localSheetId="2" hidden="1">EmploeeComm!#REF!</definedName>
    <definedName name="query" localSheetId="1" hidden="1">EmployeeList!$B$1:$K$15</definedName>
    <definedName name="TabValidateEmploeePerson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Иван Кукушкин</author>
  </authors>
  <commentList>
    <comment ref="D3" authorId="0" shapeId="0" xr:uid="{B2476D9D-BAC0-429B-9C7C-981C1068D1C2}">
      <text>
        <r>
          <rPr>
            <b/>
            <sz val="9"/>
            <color indexed="81"/>
            <rFont val="Tahoma"/>
            <family val="2"/>
            <charset val="204"/>
          </rPr>
          <t>Иван Кукушкин: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tc={8BA8A182-6057-482B-BEDF-95196F0EB937}</author>
    <author>tc={13C5B805-F339-4885-87EF-8D809FDF62FF}</author>
    <author>tc={0DBD7974-2314-4CB3-A8E2-CBAC460D059A}</author>
    <author>tc={4729AD1F-0D7B-4F41-9800-B9AFFFD84864}</author>
  </authors>
  <commentList>
    <comment ref="A1" authorId="0" shapeId="0" xr:uid="{8BA8A182-6057-482B-BEDF-95196F0EB93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13C5B805-F339-4885-87EF-8D809FDF62F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0DBD7974-2314-4CB3-A8E2-CBAC460D059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4729AD1F-0D7B-4F41-9800-B9AFFFD8486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" type="5" refreshedVersion="8" minRefreshableVersion="3" deleted="1" saveData="1">
    <dbPr connection="" command="" commandType="5"/>
  </connection>
  <connection id="2" xr16:uid="{D55658FD-5263-4C9F-8B2C-075E2A9D6D6F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96D1C8A-0BEA-44D6-989B-D3504857506C}" name="WorksheetConnection_Сотрудники МАС rev.03 v03.xlsx!TabDepartament" type="102" refreshedVersion="8" minRefreshableVersion="5">
    <extLst>
      <ext xmlns:x15="http://schemas.microsoft.com/office/spreadsheetml/2010/11/main" uri="{DE250136-89BD-433C-8126-D09CA5730AF9}">
        <x15:connection id="TabDepartament">
          <x15:rangePr sourceName="_xlcn.WorksheetConnection_СотрудникиМАСrev.03v03.xlsxTabDepartament"/>
        </x15:connection>
      </ext>
    </extLst>
  </connection>
  <connection id="4" xr16:uid="{E27425AD-6157-4F09-BDF9-2F591238B0FF}" name="WorksheetConnection_Сотрудники МАС rev.03 v03.xlsx!TabEmployeeList" type="102" refreshedVersion="8" minRefreshableVersion="5">
    <extLst>
      <ext xmlns:x15="http://schemas.microsoft.com/office/spreadsheetml/2010/11/main" uri="{DE250136-89BD-433C-8126-D09CA5730AF9}">
        <x15:connection id="TabEmployeeList">
          <x15:rangePr sourceName="_xlcn.WorksheetConnection_СотрудникиМАСrev.03v03.xlsxTabEmployeeList"/>
        </x15:connection>
      </ext>
    </extLst>
  </connection>
  <connection id="5" xr16:uid="{8B72B727-06A8-4109-92DB-7599806524B2}" name="WorksheetConnection_Сотрудники МАС rev.03 v03.xlsx!TabPost" type="102" refreshedVersion="8" minRefreshableVersion="5">
    <extLst>
      <ext xmlns:x15="http://schemas.microsoft.com/office/spreadsheetml/2010/11/main" uri="{DE250136-89BD-433C-8126-D09CA5730AF9}">
        <x15:connection id="TabPost">
          <x15:rangePr sourceName="_xlcn.WorksheetConnection_СотрудникиМАСrev.03v03.xlsxTabPost"/>
        </x15:connection>
      </ext>
    </extLst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3641827-03A8-45F6-B87D-2765F60508FA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37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<sst xmlns="http://schemas.openxmlformats.org/spreadsheetml/2006/main" count="502" uniqueCount="367">
  <si>
    <t>IDllc</t>
  </si>
  <si>
    <t>OPERATING</t>
  </si>
  <si>
    <t>COMMENT</t>
  </si>
  <si>
    <t>MAS</t>
  </si>
  <si>
    <t>МАС, ООО</t>
  </si>
  <si>
    <t>УПРОЩЕННАЯ</t>
  </si>
  <si>
    <t>true</t>
  </si>
  <si>
    <t>Специализируется на разработках и предоставлении услуг. Система налогообложения - упрощенная</t>
  </si>
  <si>
    <t>HORIZON</t>
  </si>
  <si>
    <t>ГОРИЗОНТ, ООО</t>
  </si>
  <si>
    <t>НДС 20%</t>
  </si>
  <si>
    <t>Карточка ООО Горизонт (Сбербанк).pdf</t>
  </si>
  <si>
    <t>Специализируется на поставках. Система налогообложения - НДС</t>
  </si>
  <si>
    <t>IDemployee</t>
  </si>
  <si>
    <t>PATRONYMIC</t>
  </si>
  <si>
    <t>CEO</t>
  </si>
  <si>
    <t>ivan.kukushkin@mas-tech.ru</t>
  </si>
  <si>
    <t>Викторовна</t>
  </si>
  <si>
    <t>Office manager</t>
  </si>
  <si>
    <t>natalya.kukushkina@mas-tech.ru</t>
  </si>
  <si>
    <t>Владимировна</t>
  </si>
  <si>
    <t>Chief accountant</t>
  </si>
  <si>
    <t>olga.gataullina@mas-tech.ru</t>
  </si>
  <si>
    <t>Иерусалимов</t>
  </si>
  <si>
    <t>Святослав</t>
  </si>
  <si>
    <t>Александрович</t>
  </si>
  <si>
    <t>Teacher 1 category</t>
  </si>
  <si>
    <t>ieru1997@mail.ru</t>
  </si>
  <si>
    <t>Умнов</t>
  </si>
  <si>
    <t>Никикта</t>
  </si>
  <si>
    <t>Андреевич</t>
  </si>
  <si>
    <t>Software engineer 2 category</t>
  </si>
  <si>
    <t>nikita.umnov@mas-tech.ru</t>
  </si>
  <si>
    <t>Голигров</t>
  </si>
  <si>
    <t>Викторович</t>
  </si>
  <si>
    <t>aleksandr.goligrov@mas-tech.ru</t>
  </si>
  <si>
    <t>Понятов</t>
  </si>
  <si>
    <t>Software engineer 3 category</t>
  </si>
  <si>
    <t xml:space="preserve">dmitry.ponyatov@mas-tech.ru </t>
  </si>
  <si>
    <t>Малявин</t>
  </si>
  <si>
    <t>Андрей</t>
  </si>
  <si>
    <t>Executive director</t>
  </si>
  <si>
    <t>andrey.malyavin@mas-tech.ru</t>
  </si>
  <si>
    <t>Лихолетов</t>
  </si>
  <si>
    <t>System engineer 1 category</t>
  </si>
  <si>
    <t>aleksey.likholetov@mas-tech.ru</t>
  </si>
  <si>
    <t>MICROSOFT_MAIL</t>
  </si>
  <si>
    <t>PERSONAL_MAIL</t>
  </si>
  <si>
    <t>MOBILE_PHONE</t>
  </si>
  <si>
    <t>NICKNAME_DISCORD</t>
  </si>
  <si>
    <t>inkukushkin@outlook.com</t>
  </si>
  <si>
    <t>+7 917 119-05-01</t>
  </si>
  <si>
    <t>nvkukushkina@outlook.com</t>
  </si>
  <si>
    <t>+7 917 119-05-32</t>
  </si>
  <si>
    <t>olga.gatau@outlook.com</t>
  </si>
  <si>
    <t>+7 927 208-41-16</t>
  </si>
  <si>
    <t>svyatoslav.sa@outlook.com</t>
  </si>
  <si>
    <t>+7 927 685-04-81</t>
  </si>
  <si>
    <t>nikita.umnov@outlook.com</t>
  </si>
  <si>
    <t>medovoy1213@gmail.com</t>
  </si>
  <si>
    <t>algol995@outlook.com</t>
  </si>
  <si>
    <t>+7 927 710-71-69</t>
  </si>
  <si>
    <t>dponyatov@outlook.com</t>
  </si>
  <si>
    <t>+7 917 101-08-18</t>
  </si>
  <si>
    <t>andrey.malyavin@outlook.com</t>
  </si>
  <si>
    <t>jramponen@gmail.com</t>
  </si>
  <si>
    <t>+7 937 987-45-00</t>
  </si>
  <si>
    <t>alletov@outlook.com</t>
  </si>
  <si>
    <t>+7 927 208-35-44</t>
  </si>
  <si>
    <t>DATE_BIRTH</t>
  </si>
  <si>
    <t>DEPARTMENT</t>
  </si>
  <si>
    <t>none</t>
  </si>
  <si>
    <t>Top management</t>
  </si>
  <si>
    <t>Management</t>
  </si>
  <si>
    <t>Office management</t>
  </si>
  <si>
    <t>Accounting</t>
  </si>
  <si>
    <t>DevSoft</t>
  </si>
  <si>
    <t>DevOps</t>
  </si>
  <si>
    <t>DevCircuit</t>
  </si>
  <si>
    <t>DevDesign</t>
  </si>
  <si>
    <t>Teachers</t>
  </si>
  <si>
    <t>N</t>
  </si>
  <si>
    <t>POST</t>
  </si>
  <si>
    <t>Отсутствие данных о должности</t>
  </si>
  <si>
    <t>Генеральный директор</t>
  </si>
  <si>
    <t>Исполнительный директор</t>
  </si>
  <si>
    <t>Financial director</t>
  </si>
  <si>
    <t>Финансовый директор</t>
  </si>
  <si>
    <t>Главный бухгалтер</t>
  </si>
  <si>
    <t>Accountant</t>
  </si>
  <si>
    <t>Бухгалтер</t>
  </si>
  <si>
    <t>Manager</t>
  </si>
  <si>
    <t>Менаджер</t>
  </si>
  <si>
    <t>Офис менеджер</t>
  </si>
  <si>
    <t>Software engineer</t>
  </si>
  <si>
    <t>Инженер программист</t>
  </si>
  <si>
    <t>Software engineer 1 category</t>
  </si>
  <si>
    <t>Lead software engineer</t>
  </si>
  <si>
    <t>Ведущий инженер программист</t>
  </si>
  <si>
    <t>System Engineer</t>
  </si>
  <si>
    <t>Инженер системотехник</t>
  </si>
  <si>
    <t>System engineer 2 category</t>
  </si>
  <si>
    <t>System engineer 3 category</t>
  </si>
  <si>
    <t>Lead systemeengineer</t>
  </si>
  <si>
    <t>Ведущий инженер системотехник</t>
  </si>
  <si>
    <t>Circuit engineer</t>
  </si>
  <si>
    <t>Circuit engineer 1 category</t>
  </si>
  <si>
    <t>Circuit engineer 2 category</t>
  </si>
  <si>
    <t>Circuit engineer 3 category</t>
  </si>
  <si>
    <t>Lead circuit engineer</t>
  </si>
  <si>
    <t>Ведущий инженер схемотехник</t>
  </si>
  <si>
    <t>Design engineer</t>
  </si>
  <si>
    <t>Инженер конструктор</t>
  </si>
  <si>
    <t>Design engineer 1 category</t>
  </si>
  <si>
    <t>Design engineer 2 category</t>
  </si>
  <si>
    <t>Design engineer 3 category</t>
  </si>
  <si>
    <t>Lead Design Engineer</t>
  </si>
  <si>
    <t>Ведущий инженер конструктор</t>
  </si>
  <si>
    <t>Teacher highest category</t>
  </si>
  <si>
    <t>Лихолетов А.Ю.</t>
  </si>
  <si>
    <t>Голигров А.В.</t>
  </si>
  <si>
    <t>Умнов Н.А.</t>
  </si>
  <si>
    <t>Понятов Д.А.</t>
  </si>
  <si>
    <t>Кукушкина Н.В.</t>
  </si>
  <si>
    <t>Иерусалимов С.А.</t>
  </si>
  <si>
    <t>Кукушкин И.Н.</t>
  </si>
  <si>
    <t>Гатауллина О.В.</t>
  </si>
  <si>
    <t>Малявин А.А.</t>
  </si>
  <si>
    <t>NOSTAFF</t>
  </si>
  <si>
    <t>NOSTAFF, ООО</t>
  </si>
  <si>
    <t>Виртуальная компания, для указания в графе у внештатных специалистов</t>
  </si>
  <si>
    <t>Карточка МАС (Сбербанк)</t>
  </si>
  <si>
    <t>NONE, ООО</t>
  </si>
  <si>
    <t>alletov@gmail.com</t>
  </si>
  <si>
    <t>ierusalimov97@mail.ru</t>
  </si>
  <si>
    <t>kukushkina.n.v@yandex.ru</t>
  </si>
  <si>
    <t>+7 927 777-90-54</t>
  </si>
  <si>
    <t>ov78_78@mail.ru</t>
  </si>
  <si>
    <t>28.04.2009</t>
  </si>
  <si>
    <t>Запись создана для колонок "COMPANY_1", "COMPANY_2", в случае если сотрудник либо работает в одной компании либо является внештатником</t>
  </si>
  <si>
    <t>Andrey Malyavin</t>
  </si>
  <si>
    <t>Dmitry Ponyatov</t>
  </si>
  <si>
    <t>Aleksey Likholetov</t>
  </si>
  <si>
    <t>Olga Gataullina</t>
  </si>
  <si>
    <t>Nikita Umnov</t>
  </si>
  <si>
    <t>Natalya Kukushkina</t>
  </si>
  <si>
    <t>Ivan Kukushkin</t>
  </si>
  <si>
    <t>Svyatoslav Ierusalimov</t>
  </si>
  <si>
    <t>Aleksandr Goligrov</t>
  </si>
  <si>
    <t>avigo77@gmail.com</t>
  </si>
  <si>
    <t>dponyatov@gmail.com</t>
  </si>
  <si>
    <t>PASSPORT_SERIES</t>
  </si>
  <si>
    <t>PASSPORT_NUMBER</t>
  </si>
  <si>
    <t>г. Самара, п. Зубчаниновка, ул. Бугурусланская, д.81</t>
  </si>
  <si>
    <t>029-944-365 94</t>
  </si>
  <si>
    <t>053-445-084 44</t>
  </si>
  <si>
    <t>197-189-083 29</t>
  </si>
  <si>
    <t>217-277-969 97</t>
  </si>
  <si>
    <t>172-235-487 60</t>
  </si>
  <si>
    <t>007-600-887 31</t>
  </si>
  <si>
    <t>288606</t>
  </si>
  <si>
    <t>г. Самара, ул. Губанова, д.20, кв.106</t>
  </si>
  <si>
    <t>251497</t>
  </si>
  <si>
    <t>г. Самара, ул. Вольская, д. 81, кв.185</t>
  </si>
  <si>
    <t>310202</t>
  </si>
  <si>
    <t>г. Самара, ул. Георгия Димитрова, д.52, кв.113</t>
  </si>
  <si>
    <t>г. Самара, ул. Тухачевского, д.247, кв.23</t>
  </si>
  <si>
    <t>354066</t>
  </si>
  <si>
    <t>072922</t>
  </si>
  <si>
    <t>466505</t>
  </si>
  <si>
    <t>г. Самара, Московское шоссе, д.306, кв.75</t>
  </si>
  <si>
    <t>г. Самара, ул. Карла-Маркса, д.328, кв.141</t>
  </si>
  <si>
    <t>937818</t>
  </si>
  <si>
    <t>г. Самара, ул. Черемшанская, д.137, кв. 173.</t>
  </si>
  <si>
    <t>690744</t>
  </si>
  <si>
    <t>г. Самара, ул. Шверника, д.14, кв.150</t>
  </si>
  <si>
    <t>3610</t>
  </si>
  <si>
    <t>3623</t>
  </si>
  <si>
    <t>PASSPORT_DATA</t>
  </si>
  <si>
    <t>3616</t>
  </si>
  <si>
    <t>3615</t>
  </si>
  <si>
    <t>3624</t>
  </si>
  <si>
    <t>3620</t>
  </si>
  <si>
    <t>3619</t>
  </si>
  <si>
    <t>SNILS</t>
  </si>
  <si>
    <t>REGISTRATION</t>
  </si>
  <si>
    <t>UNIT_CODE</t>
  </si>
  <si>
    <t>20.04.2023</t>
  </si>
  <si>
    <t>16.07.2010</t>
  </si>
  <si>
    <t>30.03.2023</t>
  </si>
  <si>
    <t>10.02.2017</t>
  </si>
  <si>
    <t>11.10.2023</t>
  </si>
  <si>
    <t>15.05.2015</t>
  </si>
  <si>
    <t>11.08.2024</t>
  </si>
  <si>
    <t>10.03.2021</t>
  </si>
  <si>
    <t>10.07.2019</t>
  </si>
  <si>
    <t xml:space="preserve">630-005 </t>
  </si>
  <si>
    <t>630-003</t>
  </si>
  <si>
    <t>630-005</t>
  </si>
  <si>
    <t>630-006</t>
  </si>
  <si>
    <t>ГУ МВД России по Самарской области</t>
  </si>
  <si>
    <t xml:space="preserve">ГУ МВД России по Самарской области
</t>
  </si>
  <si>
    <t>Отделом УФМС России по Самарской области в Промышленном районе города Самары</t>
  </si>
  <si>
    <t>Отделом УФМС России по Самарской области в  Кировском районе города Самары</t>
  </si>
  <si>
    <t>DATE_OF_ISSUE</t>
  </si>
  <si>
    <t>111111111</t>
  </si>
  <si>
    <t>INN_PERS</t>
  </si>
  <si>
    <t xml:space="preserve"> </t>
  </si>
  <si>
    <t>23.10.2023</t>
  </si>
  <si>
    <t>01.01.2020</t>
  </si>
  <si>
    <t>055-679-012 85</t>
  </si>
  <si>
    <t>252212</t>
  </si>
  <si>
    <t>10.01.1978</t>
  </si>
  <si>
    <t>07.01.1997</t>
  </si>
  <si>
    <t>16.09.2003</t>
  </si>
  <si>
    <t>31.03.1995</t>
  </si>
  <si>
    <t>19.07.1979</t>
  </si>
  <si>
    <t>05.03.1976</t>
  </si>
  <si>
    <t>24.01.1978</t>
  </si>
  <si>
    <t>09.05.1984</t>
  </si>
  <si>
    <t>631918896243</t>
  </si>
  <si>
    <t>631926796764</t>
  </si>
  <si>
    <t>631910725119</t>
  </si>
  <si>
    <t>631227562072</t>
  </si>
  <si>
    <t>631113148566</t>
  </si>
  <si>
    <t>631930163683</t>
  </si>
  <si>
    <t>631918260144</t>
  </si>
  <si>
    <t>631207915026</t>
  </si>
  <si>
    <t>631903868821</t>
  </si>
  <si>
    <t>6312217507</t>
  </si>
  <si>
    <t>1111111111</t>
  </si>
  <si>
    <t xml:space="preserve">Инженер программист 1 категории </t>
  </si>
  <si>
    <t xml:space="preserve">Инженер программист 2 категории </t>
  </si>
  <si>
    <t xml:space="preserve">Инженер программист 3 категории </t>
  </si>
  <si>
    <t>Инженер системотехник 1 категории</t>
  </si>
  <si>
    <t>Инженер системотехник 2  категории</t>
  </si>
  <si>
    <t>Инженер системотехник 3 категории</t>
  </si>
  <si>
    <t>Инженер схемотехник 1 категории</t>
  </si>
  <si>
    <t>Инженер схемотехник 2 категории</t>
  </si>
  <si>
    <t>Инженер схемотехник 3 категории</t>
  </si>
  <si>
    <t>Инженер конструктор 1 категории</t>
  </si>
  <si>
    <t>Инженер конструктор 2 категории</t>
  </si>
  <si>
    <t>Инженер конструктор 3 категории</t>
  </si>
  <si>
    <t>Учитель первой квалификационной категориии</t>
  </si>
  <si>
    <t>Учитель высшей квалификационной категориии</t>
  </si>
  <si>
    <t>6312088682</t>
  </si>
  <si>
    <t>050-471-650 30</t>
  </si>
  <si>
    <t>1</t>
  </si>
  <si>
    <t>2</t>
  </si>
  <si>
    <t>3</t>
  </si>
  <si>
    <t>5</t>
  </si>
  <si>
    <t>6</t>
  </si>
  <si>
    <t>7</t>
  </si>
  <si>
    <t>8</t>
  </si>
  <si>
    <t>9</t>
  </si>
  <si>
    <t>4</t>
  </si>
  <si>
    <t>122-779-861 88</t>
  </si>
  <si>
    <t>-</t>
  </si>
  <si>
    <t>СOLUMNS_NAME</t>
  </si>
  <si>
    <t>СOLUMN_DESCRIPTIONS</t>
  </si>
  <si>
    <t>IDconfig</t>
  </si>
  <si>
    <t>CONFIG_JSON</t>
  </si>
  <si>
    <t>IDnum</t>
  </si>
  <si>
    <t>TABLE_NAME</t>
  </si>
  <si>
    <t>LLC NAME</t>
  </si>
  <si>
    <t>INN LLC</t>
  </si>
  <si>
    <t>KPP LLC</t>
  </si>
  <si>
    <t>TYPE TAX SYSTEM</t>
  </si>
  <si>
    <t>YEAR FOUNDATION</t>
  </si>
  <si>
    <t>COMPANY CARD</t>
  </si>
  <si>
    <t>COUNTERPARTY</t>
  </si>
  <si>
    <t>МАС</t>
  </si>
  <si>
    <t>Горизонт</t>
  </si>
  <si>
    <t>FREELANCE OR STAFF</t>
  </si>
  <si>
    <t>staff</t>
  </si>
  <si>
    <t>freelance</t>
  </si>
  <si>
    <t>LAST NAME</t>
  </si>
  <si>
    <t>FIRST NAME</t>
  </si>
  <si>
    <t>WORK CONTRACT</t>
  </si>
  <si>
    <t>Кукушкин</t>
  </si>
  <si>
    <t>Кукушкина</t>
  </si>
  <si>
    <t>Гатауллина</t>
  </si>
  <si>
    <t>Иван</t>
  </si>
  <si>
    <t>Наталья</t>
  </si>
  <si>
    <t>Ольга</t>
  </si>
  <si>
    <t>Александр</t>
  </si>
  <si>
    <t>Дмитрий</t>
  </si>
  <si>
    <t>Алексей</t>
  </si>
  <si>
    <t>Николаевич</t>
  </si>
  <si>
    <t>Юрьевич</t>
  </si>
  <si>
    <t>FULL NAME</t>
  </si>
  <si>
    <t>Software engineer 4 category</t>
  </si>
  <si>
    <t>manager 1</t>
  </si>
  <si>
    <t>manager 4</t>
  </si>
  <si>
    <t>manager 3</t>
  </si>
  <si>
    <t>manager 444</t>
  </si>
  <si>
    <t>false</t>
  </si>
  <si>
    <t>manager 2</t>
  </si>
  <si>
    <t>Software engineer 6 category</t>
  </si>
  <si>
    <t>Software engineer 7 category</t>
  </si>
  <si>
    <t>WORKER CURRENT</t>
  </si>
  <si>
    <t>fghrt</t>
  </si>
  <si>
    <t>rtyhrt</t>
  </si>
  <si>
    <t>tjtyu</t>
  </si>
  <si>
    <t>756jt56u</t>
  </si>
  <si>
    <t>b87ib</t>
  </si>
  <si>
    <t>b87ib87</t>
  </si>
  <si>
    <t>b78i</t>
  </si>
  <si>
    <t>bb789</t>
  </si>
  <si>
    <t>o6897op</t>
  </si>
  <si>
    <t>b57</t>
  </si>
  <si>
    <t>b58i</t>
  </si>
  <si>
    <t>TRASH</t>
  </si>
  <si>
    <t>TEST1</t>
  </si>
  <si>
    <t>TEST2</t>
  </si>
  <si>
    <t>A</t>
  </si>
  <si>
    <t>E</t>
  </si>
  <si>
    <t>B</t>
  </si>
  <si>
    <t>C</t>
  </si>
  <si>
    <t>F</t>
  </si>
  <si>
    <t>D</t>
  </si>
  <si>
    <t>G</t>
  </si>
  <si>
    <t>J</t>
  </si>
  <si>
    <t>I</t>
  </si>
  <si>
    <t>K</t>
  </si>
  <si>
    <t>L</t>
  </si>
  <si>
    <t>M</t>
  </si>
  <si>
    <t>O</t>
  </si>
  <si>
    <t>ExampleConfigJSON_rev_01_v01</t>
  </si>
  <si>
    <t>ExampleConfigJSON_rev_01_v02</t>
  </si>
  <si>
    <t>Software engineer 5 category</t>
  </si>
  <si>
    <t>BUSINESS MAIL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</si>
  <si>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],
							"RemoveColumn": [
													"LAST NAME",
													"FIRST NAME",
													"PATRONYMIC"
							],
							"ClearColumn": [
												"TRASH"
							],
							"RenameColumn": [
												{
													"FULL NAME": "ФИО"
												},
												{
													"TRASH": "МУСОР"
												}
							],
							"ReorderColumn": [
												"IDnum",
												"COUNTERPARTY",
												"ФИО",
												"POST MAS",
												"WORK CONTRACT",
												"WORKER CURRENT",
												"FREELANCE OR STAFF",
												"BUSINESS MAIL",
												"МУСОР"
							],
							"ColumnSetType": [
								{
									"IDnum": "int"
								},
								{
									"COUNTERPARTY": "text"
								},
								{
									"ФИО": "text"
								},
								{
									"POST MAS": "text"
								},
								{
									"WORK CONTRACT": "text"
								},
								{
									"WORKER CURRENT": "text"
								},
								{
									"FREELANCE OR STAFF": "text"
								},
								{
									"BUSINESS MAIL": "text"
								},
								{
									"МУСОР": "text"
								}
							],
							"ValidationData": [
												{
													"IDnum": {
																"fvCheckID": []
													}
												},
												{
													"COUNTERPARTY": {
																"fvCheckNonEmpty": [],
																"fvCheckTextLength": [5, 30]
													}
												},
												{
													"ФИО": {
															"fvCheckNonEmpty": [],
															"fvCheckTextLength": [5, 30]
															}
												},
												{
													"POST MAS": {
														"fvCheckNonEmpty": [],
														"fvCheckTextLength": [5, 30]
													}
												},
												{
													"WORK CONTRACT": {
														"fvCheckNonEmpty": [],
														"fvCheckTextLength": [5, 30]
													}
												},
												{
													"WORKER CURREN": {
														"fvCheckNonEmpty": [],
														"fvCheckTextLength": [5, 30]
													}
												},
												{
													"FREELANCE OR STAFF": {
														"fvCheckNonEmpty": [],
														"fvCheckTextLength": [5, 30]
													}
												},
												{
													"BUSINESS MAIL": {
														"fvCheckNonEmpty": [],
														"fvCheckTextLength": [5, 30]
													}
												},
												{
													"МУСОР": {
														"fvCheckNonEmpty": [],
														"fvCheckTextLength": [5, 30]
													}
												}
							]
	}
}</t>
  </si>
  <si>
    <t>ExampleConfigJSON_rev_01_v03</t>
  </si>
  <si>
    <t>ExampleConfigJSON_rev_01_v04</t>
  </si>
  <si>
    <t>ExampleConfigJSON_rev_01_v05</t>
  </si>
  <si>
    <t>ExampleConfigJSON_rev_01_v06</t>
  </si>
  <si>
    <t>ExampleConfigJSON_rev_01_v07</t>
  </si>
  <si>
    <t>ExampleConfigJSON_rev_01_v08</t>
  </si>
  <si>
    <t>ExampleConfigJSON_rev_01_v09</t>
  </si>
  <si>
    <t>ExampleConfigJSON_rev_01_v10</t>
  </si>
  <si>
    <t>ExampleConfigJSON_rev_01_v11</t>
  </si>
  <si>
    <t>ExampleConfigJSON_rev_01_v12</t>
  </si>
  <si>
    <t>ExampleConfigJSON_rev_01_v13</t>
  </si>
  <si>
    <t>{
	"TabEmployeeList": {
							"ColumnFilterUniqueData":[
														"WORK CONTRACT"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</si>
  <si>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</si>
  <si>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</si>
  <si>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</si>
  <si>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</si>
  <si>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</si>
  <si>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</si>
  <si>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],
							"RemoveColumn": [
													"LAST NAME",
													"FIRST NAME",
													"PATRONYMIC"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</si>
  <si>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],
							"RemoveColumn": [
													"LAST NAME",
													"FIRST NAME",
													"PATRONYMIC"
							],
							"ClearColumn": [
												"TRASH"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</si>
  <si>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],
							"RemoveColumn": [
													"LAST NAME",
													"FIRST NAME",
													"PATRONYMIC"
							],
							"ClearColumn": [
												"TRASH"
							],
							"RenameColumn": [
												{
													"FULL NAME": "ФИО"
												},
												{
													"TRASH": "МУСОР"
												}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</si>
  <si>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],
							"RemoveColumn": [
													"LAST NAME",
													"FIRST NAME",
													"PATRONYMIC"
							],
							"ClearColumn": [
												"TRASH"
							],
							"RenameColumn": [
												{
													"FULL NAME": "ФИО"
												},
												{
													"TRASH": "МУСОР"
												}
							],
							"ReorderColumn": [
												"IDnum",
												"COUNTERPARTY",
												"ФИО",
												"POST MAS",
												"WORK CONTRACT",
												"WORKER CURRENT",
												"FREELANCE OR STAFF",
												"BUSINESS MAIL",
												"МУСОР"
							]
	}
}</t>
  </si>
  <si>
    <t>{
	"TabEmployeeList": {
							"ColumnFilterUniqueData":[
														"WORK CONTRACT"
							],
							"ColumnFilterFreeData":[
														{
															"WORKER CURRENT": "true"
														},
														{
															"FREELANCE OR STAFF": "staff"
														}
							],
							"InsertColumn": [
														"COMMENT 1",
														"COMMENT 2"
							],
							"ColumnFillData": [
														{
															"COMMENT 1": "Good employee!"
														},
														{
															"COMMENT 2": "An interesting employee!"
														}
							],
							"ModifyData":	[
												{
													"data_1": {
																"IndexSearchColumn": "WORK CONTRACT",
																"IndexSearchRow":	 "Teacher 1 category",
																"NewData":	{
																				"WORK CONTRACT": "Human"
																}
													}
												}
							],
							"RemoveRow": [
								{
									"row_1": {
												"IndexSearchColumn": "FULL NAME",
												"IndexSearchRow": "Гатауллина О.С."
									}
								}
							],
							"RemoveXorColumn": [
													"IDnum",
													"COUNTERPARTY",
													"LAST NAME",
													"FIRST NAME",
													"PATRONYMIC",
													"FULL NAME",
													"FREELANCE OR STAFF",
													"POST MAS",
													"WORK CONTRACT",
													"BUSINESS MAIL",
													"WORKER CURRENT",
													"TRASH"
							],
							"RemoveColumn": [
													"LAST NAME",
													"FIRST NAME",
													"PATRONYMIC"
							],
							"ClearColumn": [
												"TRASH"
							],
							"RenameColumn": [
												{
													"FULL NAME": "ФИО"
												},
												{
													"TRASH": "МУСОР"
												}
							],
							"ReorderColumn": [
												"IDnum",
												"COUNTERPARTY",
												"ФИО",
												"POST MAS",
												"WORK CONTRACT",
												"WORKER CURRENT",
												"FREELANCE OR STAFF",
												"BUSINESS MAIL",
												"МУСОР"
							],
							"ColumnSetType": [
								{
									"IDnum": "int"
								},
								{
									"COUNTERPARTY": "text"
								},
								{
									"ФИО": "text"
								},
								{
									"POST MAS": "text"
								},
								{
									"WORK CONTRACT": "text"
								},
								{
									"WORKER CURRENT": "text"
								},
								{
									"FREELANCE OR STAFF": "text"
								},
								{
									"BUSINESS MAIL": "text"
								},
								{
									"МУСОР": "text"
								}
							]
	}
}</t>
  </si>
  <si>
    <t>FULL NAME LONG</t>
  </si>
  <si>
    <t>{
	"TabEmployeeList": {
							"ColumnFilterUniqueData":[
														"FULL NAME LONG"
							],
							"RemoveXorColumn": [
													"IDnum",
													"FULL NAME LONG",
													"POST"
							],
							"ColumnSetType": [
								{
									"IDnum": "int"
								},
								{
									"FULL NAME LONG": "text"
								},
								{
									"POST": "text"
								}
							]
	}
}</t>
  </si>
  <si>
    <t>EmployeeListAllCompany</t>
  </si>
  <si>
    <t xml:space="preserve">{
	"TabEmployeeList": {
							"ColumnFilterUniqueData":[
														"FULL NAME LONG"
							],
							"ColumnFilterFreeData":[
														{
															"COUNTERPARTY": "Горизонт"
														}
							]
,							"RemoveXorColumn": [
													"IDnum",
													"FULL NAME LONG",
													"POST"
							],
							"ColumnSetType": [
								{
									"IDnum": "int"
								},
								{
									"FULL NAME LONG": "text"
								},
								{
									"POST": "text"
								}
							]
	}
} </t>
  </si>
  <si>
    <t>ExampleProcessor_rev_03_v01</t>
  </si>
  <si>
    <t>Сергеевна</t>
  </si>
  <si>
    <t>Гатауллина О.С.</t>
  </si>
  <si>
    <t>{
    "TabEmployeeList": {
        "1": {
            "ColumnFilterFreeData": [
                {
                    "WORKER CURRENT": "true"
                },
                {
                    "FREELANCE OR STAFF": "staff"
                }
            ],
            "ColumnFilterUniqueData": [
                "WORK CONTRACT"
            ],
            "InsertColumn": [
                "COMMENT 1",
                "COMMENT 2"
            ],
            "ColumnFillData": [
                {
                    "COMMENT 1": "Good employee!"
                },
                {
                    "COMMENT 2": "An interesting employee!"
                }
            ],
            "ModifyData": [
                {
                    "data_1": {
                        "IndexSearchColumn": "WORK CONTRACT",
                        "IndexSearchRow": "Teacher 1 category",
                        "NewData": {
                            "WORK CONTRACT": "Human"
                        }
                    }
                }
            ],
            "RemoveRow": [
                {
                    "row_1": {
                        "IndexSearchColumn": "FULL NAME",
                        "IndexSearchRow": "Гатауллина О.С."
                    }
                }
            ]
        },
        "2": {
            "RemoveXorColumn": [
                "IDnum",
                "COUNTERPARTY",
                "LAST NAME",
                "FIRST NAME",
                "PATRONYMIC",
                "FULL NAME",
                "FREELANCE OR STAFF",
                "POST",
                "WORK CONTRACT",
                "BUSINESS MAIL",
                "WORKER CURRENT",
                "TRASH"
            ],
            "RemoveColumn": [
                "LAST NAME",
                "FIRST NAME",
                "PATRONYMIC"
            ],
            "ClearColumn": [
                "TRASH"
            ],
            "RenameColumn": [
                {
                    "FULL NAME": "ФИО"
                },
                {
                    "TRASH": "МУСОР"
                }
            ],
            "ReorderColumn": [
                "IDnum",
                "COUNTERPARTY",
                "ФИО",
                "POST",
                "WORK CONTRACT",
                "WORKER CURRENT",
                "FREELANCE OR STAFF",
                "BUSINESS MAIL",
                "МУСОР"
            ]
        },
        "3": {
            "ColumnSetType": [
                {
                    "IDnum": "int"
                },
                {
                    "COUNTERPARTY": "text"
                },
                {
                    "ФИО": "text"
                },
                {
                    "POST": "text"
                },
                {
                    "WORK CONTRACT": "text"
                },
                {
                    "WORKER CURRENT": "text"
                },
                {
                    "FREELANCE OR STAFF": "text"
                },
                {
                    "BUSINESS MAIL": "text"
                },
                {
                    "МУСОР": "text"
                }
            ],
            "ValidationData": [
                {
                    "IDnum": {
                        "fvCheckID": []
                    }
                },
                {
                    "COUNTERPARTY": {
                        "fvCheckNonEmpty": [],
                        "fvCheckTextLength": [
                            5,
                            30
                        ]
                    }
                },
                {
                    "ФИО": {
                        "fvCheckNonEmpty": [],
                        "fvCheckTextLength": [
                            5,
                            30
                        ]
                    }
                },
                {
                    "POST MAS": {
                        "fvCheckNonEmpty": [],
                        "fvCheckTextLength": [
                            5,
                            30
                        ]
                    }
                },
                {
                    "WORK CONTRACT": {
                        "fvCheckNonEmpty": [],
                        "fvCheckTextLength": [
                            5,
                            30
                        ]
                    }
                },
                {
                    "WORKER CURREN": {
                        "fvCheckNonEmpty": [],
                        "fvCheckTextLength": [
                            5,
                            30
                        ]
                    }
                },
                {
                    "FREELANCE OR STAFF": {
                        "fvCheckNonEmpty": [],
                        "fvCheckTextLength": [
                            5,
                            30
                        ]
                    }
                },
                {
                    "BUSINESS MAIL": {
                        "fvCheckNonEmpty": [],
                        "fvCheckTextLength": [
                            5,
                            30
                        ]
                    }
                },
                {
                    "МУСОР": {
                        "fvCheckNonEmpty": [],
                        "fvCheckTextLength": [
                            5,
                            30
                        ]
                    }
                }
            ]
        }
    }
}</t>
  </si>
  <si>
    <t>{
	"TabEmployeeList": {
							"1": {
									"ColumnFilterUniqueData":[
														"FULL NAME LONG"
									],
									"ColumnFilterFreeData":[
														{
															"COUNTERPARTY": "Горизонт"
														}
									]									
							},
							"2": {
									"RemoveXorColumn": [
															"IDnum",
															"FULL NAME LONG",
															"POST"
									],
									"ColumnSetType": [
															{
																"IDnum": "int"
															},
															{
																"FULL NAME LONG": "text"
															},
															{
																"POST": "text"
															}
									]
							}
	}			
}</t>
  </si>
  <si>
    <t>EmployeeList_rev_01_v02_MAS</t>
  </si>
  <si>
    <t>EmployeeList_rev_01_v01_MAS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</si>
</sst>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 indent="1"/>
    </xf>
    <xf numFmtId="49" fontId="20" fillId="0" borderId="0" xfId="0" applyNumberFormat="1" applyFont="1" applyAlignment="1">
      <alignment wrapText="1"/>
    </xf>
    <xf numFmtId="0" fontId="20" fillId="0" borderId="0" xfId="0" applyFont="1"/>
    <xf numFmtId="0" fontId="18" fillId="0" borderId="0" xfId="43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13" fillId="0" borderId="0" xfId="0" applyFont="1" applyAlignment="1">
      <alignment horizontal="center" vertical="top" wrapText="1"/>
    </xf>
    <xf numFmtId="49" fontId="18" fillId="0" borderId="0" xfId="42" applyNumberFormat="1" applyFill="1" applyBorder="1"/>
    <xf numFmtId="49" fontId="18" fillId="0" borderId="0" xfId="43" applyNumberFormat="1" applyFill="1" applyBorder="1"/>
    <xf numFmtId="0" fontId="18" fillId="0" borderId="0" xfId="43" applyFill="1" applyBorder="1"/>
    <xf numFmtId="1" fontId="0" fillId="0" borderId="0" xfId="0" applyNumberFormat="1" applyAlignment="1">
      <alignment horizontal="center"/>
    </xf>
    <xf numFmtId="49" fontId="18" fillId="0" borderId="0" xfId="42" applyNumberFormat="1" applyBorder="1"/>
    <xf numFmtId="0" fontId="18" fillId="0" borderId="0" xfId="42" applyBorder="1"/>
    <xf numFmtId="49" fontId="18" fillId="0" borderId="0" xfId="43" applyNumberFormat="1" applyBorder="1" applyAlignment="1"/>
    <xf numFmtId="0" fontId="17" fillId="0" borderId="10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 wrapText="1"/>
    </xf>
    <xf numFmtId="1" fontId="0" fillId="0" borderId="0" xfId="0" applyNumberFormat="1" applyAlignment="1">
      <alignment horizontal="left" indent="1"/>
    </xf>
    <xf numFmtId="0" fontId="0" fillId="0" borderId="0" xfId="0" applyAlignment="1">
      <alignment vertical="center"/>
    </xf>
    <xf numFmtId="49" fontId="18" fillId="0" borderId="0" xfId="43" applyNumberFormat="1"/>
    <xf numFmtId="0" fontId="0" fillId="0" borderId="0" xfId="0" applyAlignment="1">
      <alignment horizontal="center" vertical="center"/>
    </xf>
    <xf numFmtId="49" fontId="20" fillId="0" borderId="0" xfId="0" applyNumberFormat="1" applyFont="1" applyAlignment="1">
      <alignment vertical="top" wrapText="1"/>
    </xf>
    <xf numFmtId="49" fontId="20" fillId="0" borderId="0" xfId="0" applyNumberFormat="1" applyFont="1" applyAlignment="1">
      <alignment horizontal="left" vertical="top" wrapText="1" indent="1"/>
    </xf>
    <xf numFmtId="49" fontId="20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vertical="top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/>
    </xf>
    <xf numFmtId="49" fontId="13" fillId="0" borderId="10" xfId="0" applyNumberFormat="1" applyFont="1" applyBorder="1" applyAlignment="1">
      <alignment horizontal="center" vertical="top"/>
    </xf>
    <xf numFmtId="49" fontId="13" fillId="0" borderId="10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49" fontId="13" fillId="0" borderId="0" xfId="0" applyNumberFormat="1" applyFont="1" applyAlignment="1">
      <alignment horizontal="center" vertical="top" wrapText="1"/>
    </xf>
    <xf numFmtId="49" fontId="20" fillId="33" borderId="0" xfId="0" applyNumberFormat="1" applyFont="1" applyFill="1" applyAlignment="1">
      <alignment horizontal="right" vertical="top" wrapText="1"/>
    </xf>
    <xf numFmtId="49" fontId="20" fillId="0" borderId="0" xfId="0" applyNumberFormat="1" applyFont="1" applyAlignment="1">
      <alignment horizontal="right" vertical="top" wrapText="1"/>
    </xf>
    <xf numFmtId="49" fontId="20" fillId="33" borderId="10" xfId="0" applyNumberFormat="1" applyFont="1" applyFill="1" applyBorder="1" applyAlignment="1">
      <alignment horizontal="right" vertical="top" wrapText="1"/>
    </xf>
    <xf numFmtId="49" fontId="0" fillId="0" borderId="0" xfId="0" applyNumberFormat="1" applyAlignment="1">
      <alignment horizontal="right" vertical="center" indent="1"/>
    </xf>
    <xf numFmtId="49" fontId="20" fillId="0" borderId="0" xfId="0" applyNumberFormat="1" applyFont="1" applyAlignment="1">
      <alignment horizontal="right" vertical="center" wrapText="1" inden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top" wrapText="1"/>
    </xf>
    <xf numFmtId="49" fontId="0" fillId="0" borderId="11" xfId="0" applyNumberFormat="1" applyBorder="1" applyAlignment="1">
      <alignment horizontal="left" vertical="top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49" fontId="0" fillId="0" borderId="11" xfId="0" applyNumberFormat="1" applyBorder="1" applyAlignment="1">
      <alignment horizontal="left" vertical="center" indent="1"/>
    </xf>
    <xf numFmtId="49" fontId="0" fillId="0" borderId="0" xfId="0" applyNumberFormat="1" applyAlignment="1">
      <alignment horizontal="center"/>
    </xf>
    <xf numFmtId="0" fontId="13" fillId="34" borderId="0" xfId="0" applyFont="1" applyFill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49" fontId="0" fillId="0" borderId="13" xfId="0" applyNumberFormat="1" applyBorder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0" fontId="23" fillId="0" borderId="0" xfId="0" applyFont="1"/>
    <xf numFmtId="0" fontId="0" fillId="0" borderId="14" xfId="0" applyBorder="1" applyAlignment="1">
      <alignment horizontal="center" vertical="center"/>
    </xf>
    <xf numFmtId="49" fontId="0" fillId="0" borderId="16" xfId="0" applyNumberFormat="1" applyBorder="1" applyAlignment="1">
      <alignment wrapText="1"/>
    </xf>
    <xf numFmtId="49" fontId="0" fillId="0" borderId="15" xfId="0" applyNumberFormat="1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center" indent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3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65">
    <dxf>
      <fill>
        <patternFill>
          <bgColor rgb="FFFFC000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center" textRotation="0" indent="1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none">
          <fgColor theme="4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none">
          <fgColor theme="4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charset val="204"/>
        <scheme val="minor"/>
      </font>
      <numFmt numFmtId="30" formatCode="@"/>
      <fill>
        <patternFill patternType="none">
          <fgColor theme="4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charset val="204"/>
        <scheme val="minor"/>
      </font>
      <numFmt numFmtId="30" formatCode="@"/>
      <fill>
        <patternFill patternType="none">
          <fgColor theme="4" tint="0.79998168889431442"/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top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numFmt numFmtId="30" formatCode="@"/>
      <alignment horizontal="left" vertical="center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44" unboundColumnsLeft="1" unboundColumnsRight="4">
    <queryTableFields count="15">
      <queryTableField id="38" dataBound="0" tableColumnId="11"/>
      <queryTableField id="1" name="№" tableColumnId="1"/>
      <queryTableField id="3" name="Фамилия" tableColumnId="3"/>
      <queryTableField id="2" name="Имя" tableColumnId="4"/>
      <queryTableField id="4" name="Отчество" tableColumnId="5"/>
      <queryTableField id="39" dataBound="0" tableColumnId="12"/>
      <queryTableField id="43" dataBound="0" tableColumnId="14"/>
      <queryTableField id="26" dataBound="0" tableColumnId="8"/>
      <queryTableField id="7" name="Должность" tableColumnId="9"/>
      <queryTableField id="34" dataBound="0" tableColumnId="2"/>
      <queryTableField id="11" name="Почта" tableColumnId="6"/>
      <queryTableField id="31" dataBound="0" tableColumnId="20"/>
      <queryTableField id="40" dataBound="0" tableColumnId="7"/>
      <queryTableField id="41" dataBound="0" tableColumnId="10"/>
      <queryTableField id="42" dataBound="0" tableColumnId="13"/>
    </queryTableFields>
    <queryTableDeletedFields count="11">
      <deletedField name="Тип элемента"/>
      <deletedField name="Путь"/>
      <deletedField name="Фото"/>
      <deletedField name="Тел. доб."/>
      <deletedField name="Тел раб."/>
      <deletedField name="Статус"/>
      <deletedField name="Отдел"/>
      <deletedField name="Дата рождения"/>
      <deletedField name="Тел. Сотовый"/>
      <deletedField name="Штат/Внештат"/>
      <deletedField name="Примечание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CE5BA6-DA72-48FE-AD5E-84B142CDEB2F}" name="TabLLCList" displayName="TabLLCList" ref="A1:I5" totalsRowShown="0" headerRowDxfId="64" dataDxfId="63">
  <autoFilter ref="A1:I5" xr:uid="{19CE5BA6-DA72-48FE-AD5E-84B142CDEB2F}"/>
  <tableColumns count="9">
    <tableColumn id="1" xr3:uid="{622E01C4-465D-455C-A4F1-D027AECD2133}" name="IDllc" dataDxfId="62"/>
    <tableColumn id="2" xr3:uid="{E87A28BE-A4F9-404D-9C27-79A2DEFC7D9A}" name="LLC NAME" dataDxfId="61"/>
    <tableColumn id="7" xr3:uid="{18288CEB-001D-4C64-9A43-676222A1F1E7}" name="INN LLC" dataDxfId="60"/>
    <tableColumn id="10" xr3:uid="{EC8BD58F-3B3A-4AFE-B6AD-BA406C1D3D24}" name="KPP LLC" dataDxfId="59"/>
    <tableColumn id="3" xr3:uid="{CD444E8A-C1FB-4802-B3B7-2C7434BAE2CE}" name="TYPE TAX SYSTEM" dataDxfId="58"/>
    <tableColumn id="5" xr3:uid="{E0295162-DA8B-4C51-BEB7-34E920707213}" name="YEAR FOUNDATION" dataDxfId="57"/>
    <tableColumn id="6" xr3:uid="{48636815-29B9-4841-A93A-3B0826212768}" name="OPERATING" dataDxfId="56"/>
    <tableColumn id="11" xr3:uid="{5344C0BF-EE6A-4524-9B99-9CBA7D4E5869}" name="COMPANY CARD" dataDxfId="55"/>
    <tableColumn id="4" xr3:uid="{21E33C0B-B832-4F52-A4CC-DE2D47A0DEB4}" name="COMMENT" dataDxfId="54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mployeeList" displayName="TabEmployeeList" ref="A1:O15" tableType="queryTable" totalsRowShown="0" headerRowDxfId="53">
  <autoFilter ref="A1:O15" xr:uid="{00000000-0009-0000-0100-000001000000}"/>
  <tableColumns count="15">
    <tableColumn id="11" xr3:uid="{36BBF633-341A-477B-B37E-23FD90A49721}" uniqueName="11" name="IDnum" queryTableFieldId="38" dataDxfId="52"/>
    <tableColumn id="1" xr3:uid="{00000000-0010-0000-0000-000001000000}" uniqueName="Title" name="COUNTERPARTY" queryTableFieldId="1" dataDxfId="51"/>
    <tableColumn id="3" xr3:uid="{00000000-0010-0000-0000-000003000000}" uniqueName="wkqx" name="LAST NAME" queryTableFieldId="3" dataDxfId="50"/>
    <tableColumn id="4" xr3:uid="{00000000-0010-0000-0000-000004000000}" uniqueName="hahk" name="FIRST NAME" queryTableFieldId="2" dataDxfId="49"/>
    <tableColumn id="5" xr3:uid="{00000000-0010-0000-0000-000005000000}" uniqueName="h8au" name="PATRONYMIC" queryTableFieldId="4" dataDxfId="48"/>
    <tableColumn id="12" xr3:uid="{D4AB5B14-AA96-491C-A01F-FE13222D900C}" uniqueName="12" name="FULL NAME" queryTableFieldId="39"/>
    <tableColumn id="14" xr3:uid="{3DB01CA6-0E07-46B7-B6BC-95CA6561BF59}" uniqueName="14" name="FULL NAME LONG" queryTableFieldId="43" dataDxfId="47">
      <calculatedColumnFormula>TabEmployeeList[[#This Row],[FIRST NAME]] &amp; " " &amp; TabEmployeeList[[#This Row],[PATRONYMIC]] &amp; " " &amp; TabEmployeeList[[#This Row],[LAST NAME]]</calculatedColumnFormula>
    </tableColumn>
    <tableColumn id="8" xr3:uid="{93C09B05-059B-4673-9423-C2DA929D1370}" uniqueName="8" name="FREELANCE OR STAFF" queryTableFieldId="26" dataDxfId="46"/>
    <tableColumn id="9" xr3:uid="{00000000-0010-0000-0000-000009000000}" uniqueName="sguh" name="POST" queryTableFieldId="7" dataDxfId="45"/>
    <tableColumn id="2" xr3:uid="{7858CF4D-7959-4772-92C6-ADF4533E38C5}" uniqueName="2" name="WORK CONTRACT" queryTableFieldId="34"/>
    <tableColumn id="6" xr3:uid="{00000000-0010-0000-0000-000006000000}" uniqueName="_x005f_x041f__x005f_x043e__x005f_x0447__x005f_x0442__x04" name="BUSINESS MAIL" queryTableFieldId="11" dataDxfId="44"/>
    <tableColumn id="20" xr3:uid="{66AF97B6-AAC9-4340-905D-28F58D0A9C26}" uniqueName="20" name="WORKER CURRENT" queryTableFieldId="31" dataDxfId="43"/>
    <tableColumn id="7" xr3:uid="{A3FD3338-DFEC-4E2A-985A-583215179744}" uniqueName="7" name="TRASH" queryTableFieldId="40" dataDxfId="42"/>
    <tableColumn id="10" xr3:uid="{153755BC-D662-4B01-9B6D-DADFBC044F1F}" uniqueName="10" name="TEST1" queryTableFieldId="41" dataDxfId="41"/>
    <tableColumn id="13" xr3:uid="{7B047E9A-41FB-4A06-9ED3-C78A397DE6C3}" uniqueName="13" name="TEST2" queryTableFieldId="42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2DB6D-9DC6-487B-AF8A-58B254D4F3E1}" name="TabEmploeeComm" displayName="TabEmploeeComm" ref="A1:F10" totalsRowShown="0" headerRowDxfId="40" dataDxfId="39">
  <autoFilter ref="A1:F10" xr:uid="{FE22DB6D-9DC6-487B-AF8A-58B254D4F3E1}"/>
  <tableColumns count="6">
    <tableColumn id="1" xr3:uid="{9918107C-2C1D-4481-AB86-2AB3E9A37571}" name="IDemployee" dataDxfId="38"/>
    <tableColumn id="2" xr3:uid="{4E211009-705A-4AEA-BF4E-705E6FC15EEC}" name="MICROSOFT_MAIL" dataDxfId="37" dataCellStyle="Hyperlink"/>
    <tableColumn id="3" xr3:uid="{DDB0C90B-AFF8-4807-9CF4-39813F95775D}" name="PERSONAL_MAIL" dataDxfId="36" dataCellStyle="Гиперссылка"/>
    <tableColumn id="5" xr3:uid="{38912DE5-BF8B-4423-94FE-5E9BFAFD144F}" name="MOBILE_PHONE" dataDxfId="35"/>
    <tableColumn id="6" xr3:uid="{C50199A9-7F86-4C59-8B65-FB39C8D60CA0}" name="NICKNAME_DISCORD" dataDxfId="34"/>
    <tableColumn id="4" xr3:uid="{63C7549F-D513-4D02-8466-2DFCBF097158}" name="COMMENT" dataDxfId="33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F1F944-24BF-4F1F-894B-4651F5FF5C76}" name="TabEmploeePersonal" displayName="TabEmploeePersonal" ref="A1:K10" totalsRowShown="0" headerRowDxfId="32" dataDxfId="30" headerRowBorderDxfId="31" tableBorderDxfId="29">
  <autoFilter ref="A1:K10" xr:uid="{97F1F944-24BF-4F1F-894B-4651F5FF5C76}"/>
  <tableColumns count="11">
    <tableColumn id="1" xr3:uid="{987C9068-8E68-4FAB-9A70-A26FA62347DE}" name="IDemployee" dataDxfId="28"/>
    <tableColumn id="2" xr3:uid="{5552CC4E-4634-453E-93FB-D7A2391B9EE3}" name="DATE_BIRTH" dataDxfId="27"/>
    <tableColumn id="3" xr3:uid="{A46AE44F-662E-43F9-9A0C-639DC61DD9E0}" name="PASSPORT_SERIES" dataDxfId="26"/>
    <tableColumn id="4" xr3:uid="{806583D1-C13F-4950-801B-A971E1BAEBDE}" name="PASSPORT_NUMBER" dataDxfId="25"/>
    <tableColumn id="5" xr3:uid="{85375EFB-5193-47CD-A760-2B48108680D4}" name="PASSPORT_DATA" dataDxfId="24"/>
    <tableColumn id="6" xr3:uid="{CF51FC2B-12DF-416B-8E90-DF0A8A2A7FB3}" name="DATE_OF_ISSUE" dataDxfId="23"/>
    <tableColumn id="7" xr3:uid="{DA9034DE-07AD-446B-ACA0-5063005F898F}" name="UNIT_CODE" dataDxfId="22"/>
    <tableColumn id="8" xr3:uid="{2EB2F2BC-EC62-40F1-9267-E6A7016FE21F}" name="REGISTRATION" dataDxfId="21"/>
    <tableColumn id="9" xr3:uid="{AE9C25DA-B9D8-49C2-B0BB-551C760BA8A6}" name="INN_PERS" dataDxfId="20"/>
    <tableColumn id="10" xr3:uid="{9DC314FF-3F38-498F-B40D-275ED581C97D}" name="SNILS" dataDxfId="19"/>
    <tableColumn id="11" xr3:uid="{F0F5F827-CBAC-4D45-92BF-1219404EEEE1}" name="COMMENT" dataDxfId="18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944F54-0E1E-433D-A263-F81870917A28}" name="TabPost" displayName="TabPost" ref="A1:D31" totalsRowShown="0" headerRowDxfId="17" dataDxfId="15" headerRowBorderDxfId="16">
  <autoFilter ref="A1:D31" xr:uid="{6B944F54-0E1E-433D-A263-F81870917A28}"/>
  <tableColumns count="4">
    <tableColumn id="1" xr3:uid="{96FBB457-4633-4CFC-9D29-546D33003EC4}" name="N" dataDxfId="14"/>
    <tableColumn id="2" xr3:uid="{B90ECBFC-C64D-4EA5-B432-5B859C091F80}" name="DEPARTMENT" dataDxfId="13"/>
    <tableColumn id="3" xr3:uid="{FF602EDD-A2F9-4092-B3F9-734FBB6FDBA2}" name="POST" dataDxfId="12"/>
    <tableColumn id="4" xr3:uid="{2544DBC8-397F-44BF-B338-14486D6045A0}" name="COMMENT" dataDxfId="11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C486A2-B8E3-437D-8E66-31E59512916E}" name="TabСolumnDescriptions" displayName="TabСolumnDescriptions" ref="A1:C2" insertRow="1" totalsRowShown="0" dataDxfId="10" tableBorderDxfId="9">
  <autoFilter ref="A1:C2" xr:uid="{05C486A2-B8E3-437D-8E66-31E59512916E}"/>
  <tableColumns count="3">
    <tableColumn id="1" xr3:uid="{D0C49267-19BC-47AE-8E7A-7B6FB953600D}" name="TABLE_NAME" dataDxfId="8"/>
    <tableColumn id="2" xr3:uid="{9A0C50BE-C675-4893-A49B-1889B95DF131}" name="СOLUMNS_NAME" dataDxfId="7"/>
    <tableColumn id="3" xr3:uid="{57D5DBED-BDD5-444F-9808-12A1C9F97ECB}" name="СOLUMN_DESCRIPTIONS" dataDxfId="6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4DFF17-5113-44A0-BCEE-E997850E4C9D}" name="TabConfigJSON" displayName="TabConfigJSON" ref="A1:D18" totalsRowShown="0" headerRowDxfId="5">
  <autoFilter ref="A1:D18" xr:uid="{9F4DFF17-5113-44A0-BCEE-E997850E4C9D}"/>
  <tableColumns count="4">
    <tableColumn id="1" xr3:uid="{23A7566E-E3C4-49DD-A98D-66BA96BC12AB}" name="IDnum" dataDxfId="4"/>
    <tableColumn id="4" xr3:uid="{CA8FED13-1F0E-477D-9035-E7D892E11A59}" name="IDconfig" dataDxfId="3"/>
    <tableColumn id="2" xr3:uid="{B978E224-4616-4CAD-8F0D-D14EEB805016}" name="CONFIG_JSON" dataDxfId="2"/>
    <tableColumn id="3" xr3:uid="{A61FC22A-C50F-4D4D-8E53-2341A8CFCA41}" name="COMMENT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8BA8A182-6057-482B-BEDF-95196F0EB937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13C5B805-F339-4885-87EF-8D809FDF62FF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0DBD7974-2314-4CB3-A8E2-CBAC460D059A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4729AD1F-0D7B-4F41-9800-B9AFFFD84864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1drv.ms/b/c/960f393676dadff3/Ee-_al3yfYJOjPsltiY9XJsBdTuaS1GuDuGpCXQVQDX4YQ?email=llc-mas%40groups.outlook.com&amp;e=dQHWRh" TargetMode="External"/><Relationship Id="rId1" Type="http://schemas.openxmlformats.org/officeDocument/2006/relationships/hyperlink" Target="https://1drv.ms/b/c/960f393676dadff3/EeHt_CC8ynRBtGQplYwckccBxTBdugwQ80G4JifK5LET4Q?email=llc-mas%40groups.outlook.com&amp;e=G12ExQ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mitry.ponyatov@mas-tech.ru" TargetMode="External"/><Relationship Id="rId13" Type="http://schemas.openxmlformats.org/officeDocument/2006/relationships/hyperlink" Target="mailto:nikita.umnov@mas-tech.ru" TargetMode="External"/><Relationship Id="rId3" Type="http://schemas.openxmlformats.org/officeDocument/2006/relationships/hyperlink" Target="mailto:ieru1997@mail.ru" TargetMode="External"/><Relationship Id="rId7" Type="http://schemas.openxmlformats.org/officeDocument/2006/relationships/hyperlink" Target="mailto:andrey.malyavin@mas-tech.ru" TargetMode="External"/><Relationship Id="rId12" Type="http://schemas.openxmlformats.org/officeDocument/2006/relationships/hyperlink" Target="mailto:olga.gataullina@mas-tech.ru" TargetMode="External"/><Relationship Id="rId2" Type="http://schemas.openxmlformats.org/officeDocument/2006/relationships/hyperlink" Target="mailto:aleksandr.goligrov@mas-tech.ru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nikita.umnov@mas-tech.ru" TargetMode="External"/><Relationship Id="rId6" Type="http://schemas.openxmlformats.org/officeDocument/2006/relationships/hyperlink" Target="mailto:olga.gataullina@mas-tech.ru" TargetMode="External"/><Relationship Id="rId11" Type="http://schemas.openxmlformats.org/officeDocument/2006/relationships/hyperlink" Target="mailto:natalya.kukushkina@mas-tech.ru" TargetMode="External"/><Relationship Id="rId5" Type="http://schemas.openxmlformats.org/officeDocument/2006/relationships/hyperlink" Target="mailto:natalya.kukushkina@mas-tech.ru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ivan.kukushkin@mas-tech.ru" TargetMode="External"/><Relationship Id="rId4" Type="http://schemas.openxmlformats.org/officeDocument/2006/relationships/hyperlink" Target="mailto:ivan.kukushkin@mas-tech.ru" TargetMode="External"/><Relationship Id="rId9" Type="http://schemas.openxmlformats.org/officeDocument/2006/relationships/hyperlink" Target="mailto:aleksey.likholetov@mas-tech.ru" TargetMode="External"/><Relationship Id="rId14" Type="http://schemas.openxmlformats.org/officeDocument/2006/relationships/hyperlink" Target="mailto:aleksandr.goligrov@mas-tech.r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vkukushkina@outlook.com" TargetMode="External"/><Relationship Id="rId13" Type="http://schemas.openxmlformats.org/officeDocument/2006/relationships/hyperlink" Target="mailto:alletov@gmail.com" TargetMode="External"/><Relationship Id="rId18" Type="http://schemas.openxmlformats.org/officeDocument/2006/relationships/hyperlink" Target="mailto:dponyatov@gmail.com" TargetMode="External"/><Relationship Id="rId3" Type="http://schemas.openxmlformats.org/officeDocument/2006/relationships/hyperlink" Target="mailto:jramponen@gmail.com" TargetMode="External"/><Relationship Id="rId7" Type="http://schemas.openxmlformats.org/officeDocument/2006/relationships/hyperlink" Target="mailto:inkukushkin@outlook.com" TargetMode="External"/><Relationship Id="rId12" Type="http://schemas.openxmlformats.org/officeDocument/2006/relationships/hyperlink" Target="mailto:olga.gatau@outlook.com" TargetMode="External"/><Relationship Id="rId17" Type="http://schemas.openxmlformats.org/officeDocument/2006/relationships/hyperlink" Target="mailto:avigo77@gmail.com" TargetMode="External"/><Relationship Id="rId2" Type="http://schemas.openxmlformats.org/officeDocument/2006/relationships/hyperlink" Target="mailto:medovoy1213@gmail.com" TargetMode="External"/><Relationship Id="rId16" Type="http://schemas.openxmlformats.org/officeDocument/2006/relationships/hyperlink" Target="mailto:ov78_78@mail.ru" TargetMode="External"/><Relationship Id="rId20" Type="http://schemas.openxmlformats.org/officeDocument/2006/relationships/table" Target="../tables/table3.xml"/><Relationship Id="rId1" Type="http://schemas.openxmlformats.org/officeDocument/2006/relationships/hyperlink" Target="mailto:inkukushkin@outlook.com" TargetMode="External"/><Relationship Id="rId6" Type="http://schemas.openxmlformats.org/officeDocument/2006/relationships/hyperlink" Target="mailto:andrey.malyavin@outlook.com" TargetMode="External"/><Relationship Id="rId11" Type="http://schemas.openxmlformats.org/officeDocument/2006/relationships/hyperlink" Target="mailto:svyatoslav.sa@outlook.com" TargetMode="External"/><Relationship Id="rId5" Type="http://schemas.openxmlformats.org/officeDocument/2006/relationships/hyperlink" Target="mailto:dponyatov@outlook.com" TargetMode="External"/><Relationship Id="rId15" Type="http://schemas.openxmlformats.org/officeDocument/2006/relationships/hyperlink" Target="mailto:kukushkina.n.v@yandex.ru" TargetMode="External"/><Relationship Id="rId10" Type="http://schemas.openxmlformats.org/officeDocument/2006/relationships/hyperlink" Target="mailto:nikita.umnov@outlook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alletov@outlook.com" TargetMode="External"/><Relationship Id="rId9" Type="http://schemas.openxmlformats.org/officeDocument/2006/relationships/hyperlink" Target="mailto:algol995@outlook.com" TargetMode="External"/><Relationship Id="rId14" Type="http://schemas.openxmlformats.org/officeDocument/2006/relationships/hyperlink" Target="mailto:ierusalimov97@mail.r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DF3F-CBF6-4F45-BBE1-7D58E2529E50}">
  <dimension ref="A1:M14"/>
  <sheetViews>
    <sheetView workbookViewId="0">
      <pane ySplit="1" topLeftCell="A2" activePane="bottomLeft" state="frozen"/>
      <selection pane="bottomLeft" activeCell="A34" sqref="A34"/>
    </sheetView>
  </sheetViews>
  <sheetFormatPr defaultRowHeight="15" x14ac:dyDescent="0.25"/>
  <cols>
    <col min="1" max="1" width="10" customWidth="1"/>
    <col min="2" max="2" width="15.140625" bestFit="1" customWidth="1"/>
    <col min="3" max="4" width="18.5703125" bestFit="1" customWidth="1"/>
    <col min="5" max="5" width="19.7109375" bestFit="1" customWidth="1"/>
    <col min="6" max="6" width="22" customWidth="1"/>
    <col min="7" max="7" width="12" customWidth="1"/>
    <col min="8" max="8" width="25.28515625" bestFit="1" customWidth="1"/>
    <col min="9" max="9" width="35.140625" customWidth="1"/>
    <col min="10" max="10" width="20.28515625" bestFit="1" customWidth="1"/>
    <col min="11" max="11" width="13.140625" bestFit="1" customWidth="1"/>
    <col min="12" max="12" width="35.42578125" bestFit="1" customWidth="1"/>
    <col min="13" max="13" width="40.42578125" style="11" customWidth="1"/>
  </cols>
  <sheetData>
    <row r="1" spans="1:13" ht="38.25" customHeight="1" x14ac:dyDescent="0.25">
      <c r="A1" s="2" t="s">
        <v>0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1</v>
      </c>
      <c r="H1" s="2" t="s">
        <v>269</v>
      </c>
      <c r="I1" s="2" t="s">
        <v>2</v>
      </c>
    </row>
    <row r="2" spans="1:13" ht="45" x14ac:dyDescent="0.25">
      <c r="A2" s="44" t="s">
        <v>3</v>
      </c>
      <c r="B2" s="23" t="s">
        <v>4</v>
      </c>
      <c r="C2" s="30" t="s">
        <v>245</v>
      </c>
      <c r="D2" s="30">
        <v>631201001</v>
      </c>
      <c r="E2" s="45" t="s">
        <v>5</v>
      </c>
      <c r="F2" s="30" t="s">
        <v>138</v>
      </c>
      <c r="G2" s="25" t="s">
        <v>6</v>
      </c>
      <c r="H2" s="8" t="s">
        <v>131</v>
      </c>
      <c r="I2" s="1" t="s">
        <v>7</v>
      </c>
    </row>
    <row r="3" spans="1:13" ht="45.75" customHeight="1" x14ac:dyDescent="0.25">
      <c r="A3" s="44" t="s">
        <v>8</v>
      </c>
      <c r="B3" s="23" t="s">
        <v>9</v>
      </c>
      <c r="C3" s="30" t="s">
        <v>229</v>
      </c>
      <c r="D3" s="30">
        <v>631201001</v>
      </c>
      <c r="E3" s="45" t="s">
        <v>10</v>
      </c>
      <c r="F3" s="30" t="s">
        <v>208</v>
      </c>
      <c r="G3" s="25" t="s">
        <v>6</v>
      </c>
      <c r="H3" s="8" t="s">
        <v>11</v>
      </c>
      <c r="I3" s="1" t="s">
        <v>12</v>
      </c>
    </row>
    <row r="4" spans="1:13" ht="45" x14ac:dyDescent="0.25">
      <c r="A4" s="44" t="s">
        <v>128</v>
      </c>
      <c r="B4" s="23" t="s">
        <v>129</v>
      </c>
      <c r="C4" s="30" t="s">
        <v>230</v>
      </c>
      <c r="D4" s="30" t="s">
        <v>205</v>
      </c>
      <c r="E4" s="45" t="s">
        <v>10</v>
      </c>
      <c r="F4" s="30" t="s">
        <v>209</v>
      </c>
      <c r="G4" s="25" t="s">
        <v>6</v>
      </c>
      <c r="H4" s="3"/>
      <c r="I4" s="1" t="s">
        <v>130</v>
      </c>
    </row>
    <row r="5" spans="1:13" ht="75" x14ac:dyDescent="0.25">
      <c r="A5" s="44" t="s">
        <v>71</v>
      </c>
      <c r="B5" s="23" t="s">
        <v>132</v>
      </c>
      <c r="C5" s="30" t="s">
        <v>230</v>
      </c>
      <c r="D5" s="30" t="s">
        <v>205</v>
      </c>
      <c r="E5" s="45" t="s">
        <v>10</v>
      </c>
      <c r="F5" s="30" t="s">
        <v>209</v>
      </c>
      <c r="G5" s="25" t="s">
        <v>6</v>
      </c>
      <c r="H5" s="3" t="s">
        <v>71</v>
      </c>
      <c r="I5" s="1" t="s">
        <v>139</v>
      </c>
    </row>
    <row r="8" spans="1:13" x14ac:dyDescent="0.25">
      <c r="F8" s="11"/>
    </row>
    <row r="9" spans="1:13" x14ac:dyDescent="0.25">
      <c r="F9" s="11"/>
    </row>
    <row r="10" spans="1:13" x14ac:dyDescent="0.25">
      <c r="F10" s="11"/>
    </row>
    <row r="11" spans="1:13" x14ac:dyDescent="0.25">
      <c r="F11" s="11"/>
    </row>
    <row r="12" spans="1:13" x14ac:dyDescent="0.25">
      <c r="F12" s="11"/>
    </row>
    <row r="13" spans="1:13" x14ac:dyDescent="0.25">
      <c r="F13" s="11"/>
    </row>
    <row r="14" spans="1:13" x14ac:dyDescent="0.25">
      <c r="M14" s="47" t="s">
        <v>257</v>
      </c>
    </row>
  </sheetData>
  <dataValidations xWindow="495" yWindow="471" count="2">
    <dataValidation type="list" showInputMessage="1" showErrorMessage="1" sqref="E2:E5" xr:uid="{46919AB0-A3A1-4319-9F91-D242325FBD38}">
      <formula1>"УПРОЩЕННАЯ,НДС 20%,"</formula1>
    </dataValidation>
    <dataValidation type="list" showInputMessage="1" showErrorMessage="1" sqref="G2:G5" xr:uid="{1C174449-1A0F-455F-8408-DFAAE4107D4E}">
      <formula1>"true,false,"</formula1>
    </dataValidation>
  </dataValidations>
  <hyperlinks>
    <hyperlink ref="H3" r:id="rId1" xr:uid="{A15788E4-624B-481E-A2F7-E6787D599404}"/>
    <hyperlink ref="H2" r:id="rId2" display="01__Карточка МАС (Сбербанк)" xr:uid="{BF6EAA69-8399-4D77-9978-4ED39B7E1D0F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zoomScaleNormal="100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3.5703125" customWidth="1"/>
    <col min="2" max="2" width="15.42578125" customWidth="1"/>
    <col min="3" max="3" width="15.7109375" customWidth="1"/>
    <col min="4" max="4" width="17.5703125" customWidth="1"/>
    <col min="5" max="5" width="16.28515625" customWidth="1"/>
    <col min="6" max="6" width="16.5703125" bestFit="1" customWidth="1"/>
    <col min="7" max="7" width="36.28515625" bestFit="1" customWidth="1"/>
    <col min="8" max="8" width="12" customWidth="1"/>
    <col min="9" max="9" width="28" customWidth="1"/>
    <col min="10" max="10" width="37.28515625" customWidth="1"/>
    <col min="11" max="11" width="32.5703125" customWidth="1"/>
    <col min="12" max="12" width="35.42578125" customWidth="1"/>
    <col min="13" max="13" width="11.5703125" customWidth="1"/>
  </cols>
  <sheetData>
    <row r="1" spans="1:15" ht="39.6" customHeight="1" x14ac:dyDescent="0.25">
      <c r="A1" s="9" t="s">
        <v>262</v>
      </c>
      <c r="B1" s="9" t="s">
        <v>270</v>
      </c>
      <c r="C1" s="9" t="s">
        <v>276</v>
      </c>
      <c r="D1" s="9" t="s">
        <v>277</v>
      </c>
      <c r="E1" s="9" t="s">
        <v>14</v>
      </c>
      <c r="F1" s="9" t="s">
        <v>290</v>
      </c>
      <c r="G1" s="9" t="s">
        <v>356</v>
      </c>
      <c r="H1" s="9" t="s">
        <v>273</v>
      </c>
      <c r="I1" s="9" t="s">
        <v>82</v>
      </c>
      <c r="J1" s="9" t="s">
        <v>278</v>
      </c>
      <c r="K1" s="9" t="s">
        <v>331</v>
      </c>
      <c r="L1" s="9" t="s">
        <v>300</v>
      </c>
      <c r="M1" s="9" t="s">
        <v>312</v>
      </c>
      <c r="N1" s="9" t="s">
        <v>313</v>
      </c>
      <c r="O1" s="9" t="s">
        <v>314</v>
      </c>
    </row>
    <row r="2" spans="1:15" x14ac:dyDescent="0.25">
      <c r="A2" s="16">
        <v>1</v>
      </c>
      <c r="B2" s="54" t="s">
        <v>271</v>
      </c>
      <c r="C2" s="55" t="s">
        <v>279</v>
      </c>
      <c r="D2" s="55" t="s">
        <v>282</v>
      </c>
      <c r="E2" s="55" t="s">
        <v>288</v>
      </c>
      <c r="F2" s="56" t="s">
        <v>125</v>
      </c>
      <c r="G2" s="56" t="str">
        <f>TabEmployeeList[[#This Row],[FIRST NAME]] &amp; " " &amp; TabEmployeeList[[#This Row],[PATRONYMIC]] &amp; " " &amp; TabEmployeeList[[#This Row],[LAST NAME]]</f>
        <v>Иван Николаевич Кукушкин</v>
      </c>
      <c r="H2" s="22" t="s">
        <v>274</v>
      </c>
      <c r="I2" t="s">
        <v>15</v>
      </c>
      <c r="J2" t="s">
        <v>96</v>
      </c>
      <c r="K2" s="17" t="s">
        <v>16</v>
      </c>
      <c r="L2" s="16" t="s">
        <v>6</v>
      </c>
      <c r="M2" s="31" t="s">
        <v>301</v>
      </c>
      <c r="N2" s="53" t="s">
        <v>315</v>
      </c>
      <c r="O2">
        <v>444</v>
      </c>
    </row>
    <row r="3" spans="1:15" x14ac:dyDescent="0.25">
      <c r="A3" s="16">
        <v>2</v>
      </c>
      <c r="B3" s="54" t="s">
        <v>272</v>
      </c>
      <c r="C3" s="55" t="s">
        <v>279</v>
      </c>
      <c r="D3" s="55" t="s">
        <v>282</v>
      </c>
      <c r="E3" s="55" t="s">
        <v>288</v>
      </c>
      <c r="F3" s="56" t="s">
        <v>125</v>
      </c>
      <c r="G3" s="56" t="str">
        <f>TabEmployeeList[[#This Row],[FIRST NAME]] &amp; " " &amp; TabEmployeeList[[#This Row],[PATRONYMIC]] &amp; " " &amp; TabEmployeeList[[#This Row],[LAST NAME]]</f>
        <v>Иван Николаевич Кукушкин</v>
      </c>
      <c r="H3" s="22" t="s">
        <v>274</v>
      </c>
      <c r="I3" t="s">
        <v>15</v>
      </c>
      <c r="J3" t="s">
        <v>31</v>
      </c>
      <c r="K3" s="17" t="s">
        <v>16</v>
      </c>
      <c r="L3" s="16" t="s">
        <v>6</v>
      </c>
      <c r="M3" s="31" t="s">
        <v>302</v>
      </c>
      <c r="N3" s="53" t="s">
        <v>317</v>
      </c>
      <c r="O3">
        <v>555</v>
      </c>
    </row>
    <row r="4" spans="1:15" x14ac:dyDescent="0.25">
      <c r="A4" s="16">
        <v>3</v>
      </c>
      <c r="B4" s="54" t="s">
        <v>271</v>
      </c>
      <c r="C4" s="55" t="s">
        <v>280</v>
      </c>
      <c r="D4" s="55" t="s">
        <v>283</v>
      </c>
      <c r="E4" s="55" t="s">
        <v>17</v>
      </c>
      <c r="F4" s="56" t="s">
        <v>123</v>
      </c>
      <c r="G4" s="56" t="str">
        <f>TabEmployeeList[[#This Row],[FIRST NAME]] &amp; " " &amp; TabEmployeeList[[#This Row],[PATRONYMIC]] &amp; " " &amp; TabEmployeeList[[#This Row],[LAST NAME]]</f>
        <v>Наталья Викторовна Кукушкина</v>
      </c>
      <c r="H4" s="22" t="s">
        <v>274</v>
      </c>
      <c r="I4" t="s">
        <v>18</v>
      </c>
      <c r="J4" t="s">
        <v>292</v>
      </c>
      <c r="K4" s="17" t="s">
        <v>19</v>
      </c>
      <c r="L4" s="16" t="s">
        <v>6</v>
      </c>
      <c r="M4" s="31" t="s">
        <v>303</v>
      </c>
      <c r="N4" s="53" t="s">
        <v>318</v>
      </c>
      <c r="O4">
        <v>666</v>
      </c>
    </row>
    <row r="5" spans="1:15" x14ac:dyDescent="0.25">
      <c r="A5" s="16">
        <v>4</v>
      </c>
      <c r="B5" s="54" t="s">
        <v>272</v>
      </c>
      <c r="C5" s="55" t="s">
        <v>280</v>
      </c>
      <c r="D5" s="55" t="s">
        <v>283</v>
      </c>
      <c r="E5" s="55" t="s">
        <v>17</v>
      </c>
      <c r="F5" s="56" t="s">
        <v>123</v>
      </c>
      <c r="G5" s="56" t="str">
        <f>TabEmployeeList[[#This Row],[FIRST NAME]] &amp; " " &amp; TabEmployeeList[[#This Row],[PATRONYMIC]] &amp; " " &amp; TabEmployeeList[[#This Row],[LAST NAME]]</f>
        <v>Наталья Викторовна Кукушкина</v>
      </c>
      <c r="H5" s="22" t="s">
        <v>274</v>
      </c>
      <c r="I5" t="s">
        <v>18</v>
      </c>
      <c r="J5" t="s">
        <v>297</v>
      </c>
      <c r="K5" s="17" t="s">
        <v>19</v>
      </c>
      <c r="L5" s="16" t="s">
        <v>6</v>
      </c>
      <c r="M5" s="31">
        <v>5678</v>
      </c>
      <c r="N5" s="53" t="s">
        <v>320</v>
      </c>
      <c r="O5">
        <v>777</v>
      </c>
    </row>
    <row r="6" spans="1:15" x14ac:dyDescent="0.25">
      <c r="A6" s="16">
        <v>5</v>
      </c>
      <c r="B6" s="54" t="s">
        <v>271</v>
      </c>
      <c r="C6" s="55" t="s">
        <v>281</v>
      </c>
      <c r="D6" s="55" t="s">
        <v>284</v>
      </c>
      <c r="E6" s="55" t="s">
        <v>361</v>
      </c>
      <c r="F6" s="56" t="s">
        <v>362</v>
      </c>
      <c r="G6" s="56" t="str">
        <f>TabEmployeeList[[#This Row],[FIRST NAME]] &amp; " " &amp; TabEmployeeList[[#This Row],[PATRONYMIC]] &amp; " " &amp; TabEmployeeList[[#This Row],[LAST NAME]]</f>
        <v>Ольга Сергеевна Гатауллина</v>
      </c>
      <c r="H6" s="22" t="s">
        <v>274</v>
      </c>
      <c r="I6" t="s">
        <v>21</v>
      </c>
      <c r="J6" t="s">
        <v>294</v>
      </c>
      <c r="K6" s="17" t="s">
        <v>22</v>
      </c>
      <c r="L6" s="16" t="s">
        <v>6</v>
      </c>
      <c r="M6" s="31">
        <v>576856</v>
      </c>
      <c r="N6" s="53" t="s">
        <v>316</v>
      </c>
      <c r="O6">
        <v>888</v>
      </c>
    </row>
    <row r="7" spans="1:15" x14ac:dyDescent="0.25">
      <c r="A7" s="16">
        <v>6</v>
      </c>
      <c r="B7" s="54" t="s">
        <v>272</v>
      </c>
      <c r="C7" s="55" t="s">
        <v>281</v>
      </c>
      <c r="D7" s="55" t="s">
        <v>284</v>
      </c>
      <c r="E7" s="55" t="s">
        <v>20</v>
      </c>
      <c r="F7" s="56" t="s">
        <v>126</v>
      </c>
      <c r="G7" s="56" t="str">
        <f>TabEmployeeList[[#This Row],[FIRST NAME]] &amp; " " &amp; TabEmployeeList[[#This Row],[PATRONYMIC]] &amp; " " &amp; TabEmployeeList[[#This Row],[LAST NAME]]</f>
        <v>Ольга Владимировна Гатауллина</v>
      </c>
      <c r="H7" s="22" t="s">
        <v>274</v>
      </c>
      <c r="I7" t="s">
        <v>21</v>
      </c>
      <c r="J7" t="s">
        <v>293</v>
      </c>
      <c r="K7" s="17" t="s">
        <v>22</v>
      </c>
      <c r="L7" s="16" t="s">
        <v>6</v>
      </c>
      <c r="M7" s="31" t="s">
        <v>305</v>
      </c>
      <c r="N7" s="53" t="s">
        <v>319</v>
      </c>
      <c r="O7">
        <v>999</v>
      </c>
    </row>
    <row r="8" spans="1:15" x14ac:dyDescent="0.25">
      <c r="A8" s="16">
        <v>7</v>
      </c>
      <c r="B8" s="54" t="s">
        <v>272</v>
      </c>
      <c r="C8" s="55" t="s">
        <v>23</v>
      </c>
      <c r="D8" s="55" t="s">
        <v>24</v>
      </c>
      <c r="E8" s="55" t="s">
        <v>25</v>
      </c>
      <c r="F8" s="56" t="s">
        <v>124</v>
      </c>
      <c r="G8" s="56" t="str">
        <f>TabEmployeeList[[#This Row],[FIRST NAME]] &amp; " " &amp; TabEmployeeList[[#This Row],[PATRONYMIC]] &amp; " " &amp; TabEmployeeList[[#This Row],[LAST NAME]]</f>
        <v>Святослав Александрович Иерусалимов</v>
      </c>
      <c r="H8" s="22" t="s">
        <v>274</v>
      </c>
      <c r="I8" t="s">
        <v>26</v>
      </c>
      <c r="J8" t="s">
        <v>26</v>
      </c>
      <c r="K8" s="17" t="s">
        <v>27</v>
      </c>
      <c r="L8" s="16" t="s">
        <v>6</v>
      </c>
      <c r="M8" s="31" t="s">
        <v>304</v>
      </c>
      <c r="N8" s="53" t="s">
        <v>321</v>
      </c>
      <c r="O8">
        <v>1110</v>
      </c>
    </row>
    <row r="9" spans="1:15" x14ac:dyDescent="0.25">
      <c r="A9" s="16">
        <v>8</v>
      </c>
      <c r="B9" s="54" t="s">
        <v>271</v>
      </c>
      <c r="C9" s="55" t="s">
        <v>28</v>
      </c>
      <c r="D9" s="55" t="s">
        <v>29</v>
      </c>
      <c r="E9" s="55" t="s">
        <v>30</v>
      </c>
      <c r="F9" s="56" t="s">
        <v>121</v>
      </c>
      <c r="G9" s="56" t="str">
        <f>TabEmployeeList[[#This Row],[FIRST NAME]] &amp; " " &amp; TabEmployeeList[[#This Row],[PATRONYMIC]] &amp; " " &amp; TabEmployeeList[[#This Row],[LAST NAME]]</f>
        <v>Никикта Андреевич Умнов</v>
      </c>
      <c r="H9" s="22" t="s">
        <v>274</v>
      </c>
      <c r="I9" t="s">
        <v>31</v>
      </c>
      <c r="J9" t="s">
        <v>37</v>
      </c>
      <c r="K9" s="17" t="s">
        <v>32</v>
      </c>
      <c r="L9" s="16" t="s">
        <v>6</v>
      </c>
      <c r="M9" s="31" t="s">
        <v>306</v>
      </c>
      <c r="N9" s="53" t="s">
        <v>322</v>
      </c>
      <c r="O9">
        <v>1221</v>
      </c>
    </row>
    <row r="10" spans="1:15" ht="13.5" customHeight="1" x14ac:dyDescent="0.25">
      <c r="A10" s="16">
        <v>9</v>
      </c>
      <c r="B10" s="54" t="s">
        <v>271</v>
      </c>
      <c r="C10" s="55" t="s">
        <v>28</v>
      </c>
      <c r="D10" s="55" t="s">
        <v>29</v>
      </c>
      <c r="E10" s="55" t="s">
        <v>30</v>
      </c>
      <c r="F10" s="56" t="s">
        <v>121</v>
      </c>
      <c r="G10" s="56" t="str">
        <f>TabEmployeeList[[#This Row],[FIRST NAME]] &amp; " " &amp; TabEmployeeList[[#This Row],[PATRONYMIC]] &amp; " " &amp; TabEmployeeList[[#This Row],[LAST NAME]]</f>
        <v>Никикта Андреевич Умнов</v>
      </c>
      <c r="H10" s="22" t="s">
        <v>274</v>
      </c>
      <c r="I10" t="s">
        <v>31</v>
      </c>
      <c r="J10" t="s">
        <v>291</v>
      </c>
      <c r="K10" s="17" t="s">
        <v>32</v>
      </c>
      <c r="L10" s="16" t="s">
        <v>6</v>
      </c>
      <c r="M10" s="31" t="s">
        <v>307</v>
      </c>
      <c r="N10" s="53" t="s">
        <v>323</v>
      </c>
      <c r="O10">
        <v>1332</v>
      </c>
    </row>
    <row r="11" spans="1:15" ht="13.5" customHeight="1" x14ac:dyDescent="0.25">
      <c r="A11" s="16">
        <v>10</v>
      </c>
      <c r="B11" s="54" t="s">
        <v>271</v>
      </c>
      <c r="C11" s="55" t="s">
        <v>33</v>
      </c>
      <c r="D11" s="55" t="s">
        <v>285</v>
      </c>
      <c r="E11" s="55" t="s">
        <v>34</v>
      </c>
      <c r="F11" s="56" t="s">
        <v>120</v>
      </c>
      <c r="G11" s="56" t="str">
        <f>TabEmployeeList[[#This Row],[FIRST NAME]] &amp; " " &amp; TabEmployeeList[[#This Row],[PATRONYMIC]] &amp; " " &amp; TabEmployeeList[[#This Row],[LAST NAME]]</f>
        <v>Александр Викторович Голигров</v>
      </c>
      <c r="H11" s="22" t="s">
        <v>274</v>
      </c>
      <c r="I11" t="s">
        <v>31</v>
      </c>
      <c r="J11" t="s">
        <v>330</v>
      </c>
      <c r="K11" s="17" t="s">
        <v>35</v>
      </c>
      <c r="L11" s="16" t="s">
        <v>6</v>
      </c>
      <c r="M11" s="31">
        <v>78</v>
      </c>
      <c r="N11" s="53" t="s">
        <v>324</v>
      </c>
      <c r="O11">
        <v>1443</v>
      </c>
    </row>
    <row r="12" spans="1:15" x14ac:dyDescent="0.25">
      <c r="A12" s="16">
        <v>11</v>
      </c>
      <c r="B12" s="54" t="s">
        <v>272</v>
      </c>
      <c r="C12" s="55" t="s">
        <v>33</v>
      </c>
      <c r="D12" s="55" t="s">
        <v>285</v>
      </c>
      <c r="E12" s="55" t="s">
        <v>34</v>
      </c>
      <c r="F12" s="56" t="s">
        <v>120</v>
      </c>
      <c r="G12" s="56" t="str">
        <f>TabEmployeeList[[#This Row],[FIRST NAME]] &amp; " " &amp; TabEmployeeList[[#This Row],[PATRONYMIC]] &amp; " " &amp; TabEmployeeList[[#This Row],[LAST NAME]]</f>
        <v>Александр Викторович Голигров</v>
      </c>
      <c r="H12" s="22" t="s">
        <v>274</v>
      </c>
      <c r="I12" t="s">
        <v>31</v>
      </c>
      <c r="J12" t="s">
        <v>298</v>
      </c>
      <c r="K12" s="17" t="s">
        <v>35</v>
      </c>
      <c r="L12" s="16" t="s">
        <v>6</v>
      </c>
      <c r="M12" s="31" t="s">
        <v>308</v>
      </c>
      <c r="N12" s="53" t="s">
        <v>325</v>
      </c>
      <c r="O12">
        <v>1554</v>
      </c>
    </row>
    <row r="13" spans="1:15" x14ac:dyDescent="0.25">
      <c r="A13" s="16">
        <v>12</v>
      </c>
      <c r="B13" s="54" t="s">
        <v>71</v>
      </c>
      <c r="C13" s="55" t="s">
        <v>36</v>
      </c>
      <c r="D13" s="55" t="s">
        <v>286</v>
      </c>
      <c r="E13" s="55" t="s">
        <v>30</v>
      </c>
      <c r="F13" s="56" t="s">
        <v>122</v>
      </c>
      <c r="G13" s="56" t="str">
        <f>TabEmployeeList[[#This Row],[FIRST NAME]] &amp; " " &amp; TabEmployeeList[[#This Row],[PATRONYMIC]] &amp; " " &amp; TabEmployeeList[[#This Row],[LAST NAME]]</f>
        <v>Дмитрий Андреевич Понятов</v>
      </c>
      <c r="H13" s="22" t="s">
        <v>275</v>
      </c>
      <c r="I13" t="s">
        <v>37</v>
      </c>
      <c r="J13" t="s">
        <v>299</v>
      </c>
      <c r="K13" s="18" t="s">
        <v>38</v>
      </c>
      <c r="L13" s="16" t="s">
        <v>6</v>
      </c>
      <c r="M13" s="31" t="s">
        <v>309</v>
      </c>
      <c r="N13" s="53" t="s">
        <v>326</v>
      </c>
      <c r="O13">
        <v>1665</v>
      </c>
    </row>
    <row r="14" spans="1:15" x14ac:dyDescent="0.25">
      <c r="A14" s="16">
        <v>13</v>
      </c>
      <c r="B14" s="54" t="s">
        <v>71</v>
      </c>
      <c r="C14" s="55" t="s">
        <v>39</v>
      </c>
      <c r="D14" s="55" t="s">
        <v>40</v>
      </c>
      <c r="E14" s="55" t="s">
        <v>25</v>
      </c>
      <c r="F14" s="56" t="s">
        <v>127</v>
      </c>
      <c r="G14" s="56" t="str">
        <f>TabEmployeeList[[#This Row],[FIRST NAME]] &amp; " " &amp; TabEmployeeList[[#This Row],[PATRONYMIC]] &amp; " " &amp; TabEmployeeList[[#This Row],[LAST NAME]]</f>
        <v>Андрей Александрович Малявин</v>
      </c>
      <c r="H14" s="22" t="s">
        <v>275</v>
      </c>
      <c r="I14" t="s">
        <v>41</v>
      </c>
      <c r="J14" t="s">
        <v>295</v>
      </c>
      <c r="K14" s="18" t="s">
        <v>42</v>
      </c>
      <c r="L14" s="16" t="s">
        <v>296</v>
      </c>
      <c r="M14" s="31" t="s">
        <v>310</v>
      </c>
      <c r="N14" s="53" t="s">
        <v>81</v>
      </c>
      <c r="O14">
        <v>1776</v>
      </c>
    </row>
    <row r="15" spans="1:15" x14ac:dyDescent="0.25">
      <c r="A15" s="16">
        <v>14</v>
      </c>
      <c r="B15" s="54" t="s">
        <v>71</v>
      </c>
      <c r="C15" s="55" t="s">
        <v>43</v>
      </c>
      <c r="D15" s="55" t="s">
        <v>287</v>
      </c>
      <c r="E15" s="55" t="s">
        <v>289</v>
      </c>
      <c r="F15" s="56" t="s">
        <v>119</v>
      </c>
      <c r="G15" s="56" t="str">
        <f>TabEmployeeList[[#This Row],[FIRST NAME]] &amp; " " &amp; TabEmployeeList[[#This Row],[PATRONYMIC]] &amp; " " &amp; TabEmployeeList[[#This Row],[LAST NAME]]</f>
        <v>Алексей Юрьевич Лихолетов</v>
      </c>
      <c r="H15" s="22" t="s">
        <v>275</v>
      </c>
      <c r="I15" t="s">
        <v>44</v>
      </c>
      <c r="J15" t="s">
        <v>295</v>
      </c>
      <c r="K15" s="19" t="s">
        <v>45</v>
      </c>
      <c r="L15" s="16" t="s">
        <v>296</v>
      </c>
      <c r="M15" s="31" t="s">
        <v>311</v>
      </c>
      <c r="N15" s="53" t="s">
        <v>327</v>
      </c>
      <c r="O15">
        <v>1887</v>
      </c>
    </row>
  </sheetData>
  <phoneticPr fontId="19" type="noConversion"/>
  <conditionalFormatting sqref="I21">
    <cfRule type="expression" dxfId="0" priority="1">
      <formula>IF($I$21&lt;&gt;$J$21,1,0)</formula>
    </cfRule>
  </conditionalFormatting>
  <dataValidations count="7">
    <dataValidation type="whole" showInputMessage="1" showErrorMessage="1" errorTitle="Ошибка, не допустимые данные !" error="Не допустимое значение индекса сотрудника ! Допускается числовое значение от 1 и выше, повторения не допустимы. " promptTitle="Правила заполнения поля" sqref="A2:A15" xr:uid="{69A83BA5-5056-4C63-BA31-134F3DBE4C8A}">
      <formula1>1</formula1>
      <formula2>333</formula2>
    </dataValidation>
    <dataValidation type="list" allowBlank="1" showInputMessage="1" showErrorMessage="1" sqref="I2:I15" xr:uid="{D99154D4-0F39-4695-B1F5-E94242E045F8}">
      <formula1>INDIRECT("TabPost[POST]")</formula1>
    </dataValidation>
    <dataValidation type="list" showInputMessage="1" showErrorMessage="1" errorTitle="Ошибка, не допустимые данные !" error="Поле может содержать только 'true' или 'false'" promptTitle="Правила заполнения поля" sqref="L2:L15" xr:uid="{5E89AAB0-A7BB-4FB4-BC59-76B1A5097000}">
      <formula1>"true,false,"</formula1>
    </dataValidation>
    <dataValidation type="textLength" showInputMessage="1" showErrorMessage="1" errorTitle="Ошибка, не допустимые данные !" error="ачение элемента ФИО" promptTitle="Правила заполнения поля" sqref="I2:J15" xr:uid="{9526F0C7-3FB3-4CCC-AB56-77F1F7B8B514}">
      <formula1>3</formula1>
      <formula2>30</formula2>
    </dataValidation>
    <dataValidation showInputMessage="1" showErrorMessage="1" errorTitle="Ошибка, не допустимые данные !" error="Не допустимое значение наименования компании " promptTitle="Правила заполнения поля" prompt="Требуется выбрать юридическое лицо из списка" sqref="J2:J15" xr:uid="{91DF5B5B-10C2-46B8-A148-E8FC64F46E2F}"/>
    <dataValidation type="list" showInputMessage="1" showErrorMessage="1" errorTitle="Ошибка, не допустимые данные !" error="Не допустимое значение индекса сотрудника ! Допускается числовое значение от 1 и выше, повторения не допустимы. " promptTitle="Правила заполнения поля" sqref="B2:B15" xr:uid="{B1233C3C-5359-4E05-9BAF-572412E72884}">
      <formula1>INDIRECT("TabHandbookCounterparty[COUNTERPARTY]")</formula1>
    </dataValidation>
    <dataValidation type="list" allowBlank="1" showInputMessage="1" showErrorMessage="1" sqref="H2:H15" xr:uid="{40417660-4046-4EEA-9003-833936F0499F}">
      <formula1>"staff,freelance,"</formula1>
    </dataValidation>
  </dataValidations>
  <hyperlinks>
    <hyperlink ref="K10" r:id="rId1" xr:uid="{28596574-99FB-4597-A60A-1ADDD77A7F2D}"/>
    <hyperlink ref="K12" r:id="rId2" xr:uid="{E85E9E3B-C317-43B8-9A43-97318F1EF192}"/>
    <hyperlink ref="K8" r:id="rId3" xr:uid="{F7F3925D-2149-4317-AF7F-810756919480}"/>
    <hyperlink ref="K2" r:id="rId4" xr:uid="{2868E4B3-4C48-4CA7-8044-B93566F59578}"/>
    <hyperlink ref="K5" r:id="rId5" xr:uid="{07C7F660-9C41-46AC-A530-0AAE38D04620}"/>
    <hyperlink ref="K7" r:id="rId6" xr:uid="{B2D28E7A-B65E-4D3A-AC66-EF39FBF6E8AA}"/>
    <hyperlink ref="K14" r:id="rId7" xr:uid="{E1D19D8F-D202-4FD7-9B89-DD1239448C7B}"/>
    <hyperlink ref="K13" r:id="rId8" xr:uid="{7BF2457E-9FBE-4FBD-AB0F-E5252083B3D4}"/>
    <hyperlink ref="K15" r:id="rId9" xr:uid="{45485F96-3AFB-4F80-929F-092A31E16D47}"/>
    <hyperlink ref="K3" r:id="rId10" xr:uid="{A7BAF8C2-3ECC-4494-8BE0-800E3E4F7C49}"/>
    <hyperlink ref="K4" r:id="rId11" xr:uid="{A047DAD7-8112-4004-9F3D-A7C6A1BDACEE}"/>
    <hyperlink ref="K6" r:id="rId12" xr:uid="{33C4B70D-22EC-43A4-98EE-B4AD16D0A496}"/>
    <hyperlink ref="K9" r:id="rId13" xr:uid="{F54A5B47-925E-4BC1-A0A3-5BE654F7B510}"/>
    <hyperlink ref="K11" r:id="rId14" xr:uid="{F24AC085-315C-4A89-9709-598152A78F25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7E92-55BE-4C7C-BA5F-1325A6CF31D2}">
  <dimension ref="A1:F10"/>
  <sheetViews>
    <sheetView zoomScaleNormal="100" workbookViewId="0">
      <pane ySplit="1" topLeftCell="A4" activePane="bottomLeft" state="frozen"/>
      <selection pane="bottomLeft" activeCell="B50" sqref="B50"/>
    </sheetView>
  </sheetViews>
  <sheetFormatPr defaultRowHeight="15" x14ac:dyDescent="0.25"/>
  <cols>
    <col min="1" max="1" width="13" customWidth="1"/>
    <col min="2" max="2" width="34" customWidth="1"/>
    <col min="3" max="3" width="29.5703125" customWidth="1"/>
    <col min="4" max="4" width="18.140625" bestFit="1" customWidth="1"/>
    <col min="5" max="5" width="22.5703125" customWidth="1"/>
    <col min="6" max="6" width="31.5703125" customWidth="1"/>
    <col min="7" max="7" width="9.7109375" bestFit="1" customWidth="1"/>
  </cols>
  <sheetData>
    <row r="1" spans="1:6" ht="31.15" customHeight="1" x14ac:dyDescent="0.25">
      <c r="A1" s="2" t="s">
        <v>13</v>
      </c>
      <c r="B1" s="2" t="s">
        <v>46</v>
      </c>
      <c r="C1" s="2" t="s">
        <v>47</v>
      </c>
      <c r="D1" s="2" t="s">
        <v>48</v>
      </c>
      <c r="E1" s="12" t="s">
        <v>49</v>
      </c>
      <c r="F1" s="9" t="s">
        <v>2</v>
      </c>
    </row>
    <row r="2" spans="1:6" x14ac:dyDescent="0.25">
      <c r="A2" s="10">
        <v>1</v>
      </c>
      <c r="B2" s="13" t="s">
        <v>50</v>
      </c>
      <c r="C2" s="13" t="s">
        <v>50</v>
      </c>
      <c r="D2" s="11" t="s">
        <v>51</v>
      </c>
      <c r="E2" s="23" t="s">
        <v>146</v>
      </c>
      <c r="F2" s="11"/>
    </row>
    <row r="3" spans="1:6" x14ac:dyDescent="0.25">
      <c r="A3" s="10">
        <v>2</v>
      </c>
      <c r="B3" s="13" t="s">
        <v>52</v>
      </c>
      <c r="C3" s="13" t="s">
        <v>135</v>
      </c>
      <c r="D3" s="11" t="s">
        <v>53</v>
      </c>
      <c r="E3" s="23" t="s">
        <v>145</v>
      </c>
      <c r="F3" s="11"/>
    </row>
    <row r="4" spans="1:6" x14ac:dyDescent="0.25">
      <c r="A4" s="10">
        <v>3</v>
      </c>
      <c r="B4" s="13" t="s">
        <v>54</v>
      </c>
      <c r="C4" s="13" t="s">
        <v>137</v>
      </c>
      <c r="D4" s="11" t="s">
        <v>55</v>
      </c>
      <c r="E4" s="23" t="s">
        <v>143</v>
      </c>
      <c r="F4" s="11"/>
    </row>
    <row r="5" spans="1:6" x14ac:dyDescent="0.25">
      <c r="A5" s="10">
        <v>4</v>
      </c>
      <c r="B5" s="13" t="s">
        <v>56</v>
      </c>
      <c r="C5" s="13" t="s">
        <v>134</v>
      </c>
      <c r="D5" s="11" t="s">
        <v>57</v>
      </c>
      <c r="E5" s="23" t="s">
        <v>147</v>
      </c>
      <c r="F5" s="11"/>
    </row>
    <row r="6" spans="1:6" x14ac:dyDescent="0.25">
      <c r="A6" s="10">
        <v>5</v>
      </c>
      <c r="B6" s="13" t="s">
        <v>58</v>
      </c>
      <c r="C6" s="14" t="s">
        <v>59</v>
      </c>
      <c r="D6" s="11" t="s">
        <v>136</v>
      </c>
      <c r="E6" s="23" t="s">
        <v>144</v>
      </c>
      <c r="F6" s="11"/>
    </row>
    <row r="7" spans="1:6" x14ac:dyDescent="0.25">
      <c r="A7" s="10">
        <v>6</v>
      </c>
      <c r="B7" s="13" t="s">
        <v>60</v>
      </c>
      <c r="C7" s="14" t="s">
        <v>149</v>
      </c>
      <c r="D7" s="11" t="s">
        <v>61</v>
      </c>
      <c r="E7" s="23" t="s">
        <v>148</v>
      </c>
      <c r="F7" s="11"/>
    </row>
    <row r="8" spans="1:6" x14ac:dyDescent="0.25">
      <c r="A8" s="10">
        <v>7</v>
      </c>
      <c r="B8" s="13" t="s">
        <v>62</v>
      </c>
      <c r="C8" s="14" t="s">
        <v>150</v>
      </c>
      <c r="D8" s="11" t="s">
        <v>63</v>
      </c>
      <c r="E8" s="23" t="s">
        <v>141</v>
      </c>
      <c r="F8" s="11"/>
    </row>
    <row r="9" spans="1:6" x14ac:dyDescent="0.25">
      <c r="A9" s="10">
        <v>8</v>
      </c>
      <c r="B9" s="13" t="s">
        <v>64</v>
      </c>
      <c r="C9" s="15" t="s">
        <v>65</v>
      </c>
      <c r="D9" s="11" t="s">
        <v>66</v>
      </c>
      <c r="E9" s="23" t="s">
        <v>140</v>
      </c>
      <c r="F9" s="11"/>
    </row>
    <row r="10" spans="1:6" x14ac:dyDescent="0.25">
      <c r="A10" s="10">
        <v>9</v>
      </c>
      <c r="B10" s="13" t="s">
        <v>67</v>
      </c>
      <c r="C10" s="24" t="s">
        <v>133</v>
      </c>
      <c r="D10" s="11" t="s">
        <v>68</v>
      </c>
      <c r="E10" s="23" t="s">
        <v>142</v>
      </c>
      <c r="F10" s="11"/>
    </row>
  </sheetData>
  <hyperlinks>
    <hyperlink ref="C2" r:id="rId1" xr:uid="{465313EC-FDF3-45C1-8E88-CA7EAE00C450}"/>
    <hyperlink ref="C6" r:id="rId2" xr:uid="{543B5D59-192C-43A8-9246-694963B87A66}"/>
    <hyperlink ref="C9" r:id="rId3" xr:uid="{F4979537-6B80-40E3-9B80-220CA1FCC37D}"/>
    <hyperlink ref="B10" r:id="rId4" xr:uid="{B5ECDAD4-B37C-46B0-8D61-F8A4405D3B9D}"/>
    <hyperlink ref="B8" r:id="rId5" xr:uid="{E8F31428-22CB-45E9-BE21-AA69802DC13B}"/>
    <hyperlink ref="B9" r:id="rId6" xr:uid="{E40AD629-B674-4FA1-9182-718FB70D6BE2}"/>
    <hyperlink ref="B2" r:id="rId7" xr:uid="{78430AEE-0C09-4016-8C8B-E703F1C538E0}"/>
    <hyperlink ref="B3" r:id="rId8" xr:uid="{E0822BE0-93A7-461B-A766-021F054017CB}"/>
    <hyperlink ref="B7" r:id="rId9" xr:uid="{542263EA-C6FF-422F-B515-2BA817960D68}"/>
    <hyperlink ref="B6" r:id="rId10" xr:uid="{2529E61F-E23E-4A68-8F82-84832AAFBFA5}"/>
    <hyperlink ref="B5" r:id="rId11" xr:uid="{7C2D6418-AAA3-47E7-9ECA-CE618C14EE29}"/>
    <hyperlink ref="B4" r:id="rId12" xr:uid="{9D100884-64AB-4075-9FFC-5874AFB8119E}"/>
    <hyperlink ref="C10" r:id="rId13" display="mailto:alletov@gmail.com" xr:uid="{D8D3010E-8BC1-45A0-B1B5-2519A043F911}"/>
    <hyperlink ref="C5" r:id="rId14" xr:uid="{CFF8A380-8D0F-46FD-B431-16FE78ACF3DC}"/>
    <hyperlink ref="C3" r:id="rId15" xr:uid="{6686BDBB-ED05-48F2-B2F7-525A20BCDD04}"/>
    <hyperlink ref="C4" r:id="rId16" xr:uid="{2AAE9DBB-2E4C-4654-9697-115C6C0D8589}"/>
    <hyperlink ref="C7" r:id="rId17" xr:uid="{8BABF05B-A970-4303-B111-8D3A99581065}"/>
    <hyperlink ref="C8" r:id="rId18" xr:uid="{12DF28FF-E934-4349-B7F2-5EEDEA42F009}"/>
  </hyperlinks>
  <pageMargins left="0.7" right="0.7" top="0.75" bottom="0.75" header="0.3" footer="0.3"/>
  <pageSetup paperSize="9" orientation="portrait" r:id="rId19"/>
  <tableParts count="1"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BA1A-B93F-443C-AA19-50ADFF44A6B7}">
  <dimension ref="A1:K44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" customWidth="1"/>
    <col min="2" max="2" width="16" customWidth="1"/>
    <col min="3" max="3" width="18.42578125" customWidth="1"/>
    <col min="4" max="4" width="20.7109375" customWidth="1"/>
    <col min="5" max="5" width="36.85546875" customWidth="1"/>
    <col min="6" max="6" width="16.42578125" customWidth="1"/>
    <col min="7" max="7" width="12.7109375" customWidth="1"/>
    <col min="8" max="8" width="36.28515625" customWidth="1"/>
    <col min="9" max="9" width="17.42578125" customWidth="1"/>
    <col min="10" max="10" width="19.85546875" customWidth="1"/>
    <col min="11" max="11" width="32" customWidth="1"/>
  </cols>
  <sheetData>
    <row r="1" spans="1:11" ht="27.6" customHeight="1" thickBot="1" x14ac:dyDescent="0.3">
      <c r="A1" s="32" t="s">
        <v>13</v>
      </c>
      <c r="B1" s="32" t="s">
        <v>69</v>
      </c>
      <c r="C1" s="33" t="s">
        <v>151</v>
      </c>
      <c r="D1" s="33" t="s">
        <v>152</v>
      </c>
      <c r="E1" s="33" t="s">
        <v>178</v>
      </c>
      <c r="F1" s="35" t="s">
        <v>204</v>
      </c>
      <c r="G1" s="33" t="s">
        <v>186</v>
      </c>
      <c r="H1" s="33" t="s">
        <v>185</v>
      </c>
      <c r="I1" s="33" t="s">
        <v>206</v>
      </c>
      <c r="J1" s="33" t="s">
        <v>184</v>
      </c>
      <c r="K1" s="33" t="s">
        <v>2</v>
      </c>
    </row>
    <row r="2" spans="1:11" ht="18" customHeight="1" x14ac:dyDescent="0.25">
      <c r="A2" s="41" t="s">
        <v>247</v>
      </c>
      <c r="B2" s="31" t="s">
        <v>218</v>
      </c>
      <c r="C2" s="34" t="s">
        <v>177</v>
      </c>
      <c r="D2" s="34" t="s">
        <v>211</v>
      </c>
      <c r="E2" s="26" t="s">
        <v>200</v>
      </c>
      <c r="F2" s="36" t="s">
        <v>187</v>
      </c>
      <c r="G2" s="27" t="s">
        <v>198</v>
      </c>
      <c r="H2" s="28" t="s">
        <v>153</v>
      </c>
      <c r="I2" s="30" t="s">
        <v>220</v>
      </c>
      <c r="J2" s="39" t="s">
        <v>154</v>
      </c>
      <c r="K2" s="29"/>
    </row>
    <row r="3" spans="1:11" ht="45" x14ac:dyDescent="0.25">
      <c r="A3" s="41" t="s">
        <v>248</v>
      </c>
      <c r="B3" s="31" t="s">
        <v>219</v>
      </c>
      <c r="C3" s="34" t="s">
        <v>176</v>
      </c>
      <c r="D3" s="34" t="s">
        <v>160</v>
      </c>
      <c r="E3" s="26" t="s">
        <v>202</v>
      </c>
      <c r="F3" s="37" t="s">
        <v>188</v>
      </c>
      <c r="G3" s="27" t="s">
        <v>198</v>
      </c>
      <c r="H3" s="28" t="s">
        <v>161</v>
      </c>
      <c r="I3" s="30" t="s">
        <v>221</v>
      </c>
      <c r="J3" s="39" t="s">
        <v>256</v>
      </c>
      <c r="K3" s="29" t="s">
        <v>207</v>
      </c>
    </row>
    <row r="4" spans="1:11" x14ac:dyDescent="0.25">
      <c r="A4" s="41" t="s">
        <v>249</v>
      </c>
      <c r="B4" s="31" t="s">
        <v>212</v>
      </c>
      <c r="C4" s="34" t="s">
        <v>177</v>
      </c>
      <c r="D4" s="34" t="s">
        <v>162</v>
      </c>
      <c r="E4" s="26" t="s">
        <v>200</v>
      </c>
      <c r="F4" s="36" t="s">
        <v>189</v>
      </c>
      <c r="G4" s="27" t="s">
        <v>198</v>
      </c>
      <c r="H4" s="28" t="s">
        <v>163</v>
      </c>
      <c r="I4" s="30" t="s">
        <v>222</v>
      </c>
      <c r="J4" s="40" t="s">
        <v>155</v>
      </c>
      <c r="K4" s="29"/>
    </row>
    <row r="5" spans="1:11" ht="45" x14ac:dyDescent="0.25">
      <c r="A5" s="41" t="s">
        <v>255</v>
      </c>
      <c r="B5" s="31" t="s">
        <v>212</v>
      </c>
      <c r="C5" s="34" t="s">
        <v>179</v>
      </c>
      <c r="D5" s="34" t="s">
        <v>164</v>
      </c>
      <c r="E5" s="26" t="s">
        <v>203</v>
      </c>
      <c r="F5" s="37" t="s">
        <v>190</v>
      </c>
      <c r="G5" s="27" t="s">
        <v>199</v>
      </c>
      <c r="H5" s="28" t="s">
        <v>165</v>
      </c>
      <c r="I5" s="30" t="s">
        <v>223</v>
      </c>
      <c r="J5" s="40" t="s">
        <v>156</v>
      </c>
      <c r="K5" s="29"/>
    </row>
    <row r="6" spans="1:11" ht="30" x14ac:dyDescent="0.25">
      <c r="A6" s="41" t="s">
        <v>250</v>
      </c>
      <c r="B6" s="31" t="s">
        <v>213</v>
      </c>
      <c r="C6" s="34" t="s">
        <v>177</v>
      </c>
      <c r="D6" s="34" t="s">
        <v>167</v>
      </c>
      <c r="E6" s="26" t="s">
        <v>200</v>
      </c>
      <c r="F6" s="36" t="s">
        <v>191</v>
      </c>
      <c r="G6" s="27" t="s">
        <v>197</v>
      </c>
      <c r="H6" s="28" t="s">
        <v>166</v>
      </c>
      <c r="I6" s="30" t="s">
        <v>224</v>
      </c>
      <c r="J6" s="39" t="s">
        <v>157</v>
      </c>
      <c r="K6" s="29"/>
    </row>
    <row r="7" spans="1:11" ht="45" x14ac:dyDescent="0.25">
      <c r="A7" s="41" t="s">
        <v>251</v>
      </c>
      <c r="B7" s="31" t="s">
        <v>214</v>
      </c>
      <c r="C7" s="34" t="s">
        <v>180</v>
      </c>
      <c r="D7" s="34" t="s">
        <v>168</v>
      </c>
      <c r="E7" s="26" t="s">
        <v>202</v>
      </c>
      <c r="F7" s="37" t="s">
        <v>192</v>
      </c>
      <c r="G7" s="27" t="s">
        <v>198</v>
      </c>
      <c r="H7" s="28" t="s">
        <v>171</v>
      </c>
      <c r="I7" s="30" t="s">
        <v>225</v>
      </c>
      <c r="J7" s="39" t="s">
        <v>158</v>
      </c>
      <c r="K7" s="29"/>
    </row>
    <row r="8" spans="1:11" ht="30" x14ac:dyDescent="0.25">
      <c r="A8" s="41" t="s">
        <v>252</v>
      </c>
      <c r="B8" s="31" t="s">
        <v>215</v>
      </c>
      <c r="C8" s="34" t="s">
        <v>181</v>
      </c>
      <c r="D8" s="34" t="s">
        <v>169</v>
      </c>
      <c r="E8" s="26" t="s">
        <v>200</v>
      </c>
      <c r="F8" s="36" t="s">
        <v>193</v>
      </c>
      <c r="G8" s="27" t="s">
        <v>198</v>
      </c>
      <c r="H8" s="28" t="s">
        <v>170</v>
      </c>
      <c r="I8" s="30" t="s">
        <v>226</v>
      </c>
      <c r="J8" s="40" t="s">
        <v>159</v>
      </c>
      <c r="K8" s="29"/>
    </row>
    <row r="9" spans="1:11" ht="30" x14ac:dyDescent="0.25">
      <c r="A9" s="41" t="s">
        <v>253</v>
      </c>
      <c r="B9" s="31" t="s">
        <v>216</v>
      </c>
      <c r="C9" s="34" t="s">
        <v>182</v>
      </c>
      <c r="D9" s="34" t="s">
        <v>172</v>
      </c>
      <c r="E9" s="26" t="s">
        <v>200</v>
      </c>
      <c r="F9" s="37" t="s">
        <v>194</v>
      </c>
      <c r="G9" s="27" t="s">
        <v>197</v>
      </c>
      <c r="H9" s="28" t="s">
        <v>173</v>
      </c>
      <c r="I9" s="30" t="s">
        <v>227</v>
      </c>
      <c r="J9" s="40" t="s">
        <v>210</v>
      </c>
      <c r="K9" s="29"/>
    </row>
    <row r="10" spans="1:11" ht="15.75" customHeight="1" thickBot="1" x14ac:dyDescent="0.3">
      <c r="A10" s="41" t="s">
        <v>254</v>
      </c>
      <c r="B10" s="31" t="s">
        <v>217</v>
      </c>
      <c r="C10" s="34" t="s">
        <v>183</v>
      </c>
      <c r="D10" s="34" t="s">
        <v>174</v>
      </c>
      <c r="E10" s="26" t="s">
        <v>201</v>
      </c>
      <c r="F10" s="38" t="s">
        <v>195</v>
      </c>
      <c r="G10" s="27" t="s">
        <v>196</v>
      </c>
      <c r="H10" s="28" t="s">
        <v>175</v>
      </c>
      <c r="I10" s="30" t="s">
        <v>228</v>
      </c>
      <c r="J10" s="40" t="s">
        <v>246</v>
      </c>
      <c r="K10" s="29"/>
    </row>
    <row r="11" spans="1:11" x14ac:dyDescent="0.25">
      <c r="A11" s="11"/>
      <c r="F11" s="11"/>
      <c r="I11" s="11"/>
    </row>
    <row r="12" spans="1:11" x14ac:dyDescent="0.25">
      <c r="A12" s="11"/>
      <c r="F12" s="11"/>
      <c r="I12" s="11"/>
    </row>
    <row r="13" spans="1:11" x14ac:dyDescent="0.25">
      <c r="A13" s="11"/>
      <c r="I13" s="11"/>
    </row>
    <row r="14" spans="1:11" x14ac:dyDescent="0.25">
      <c r="A14" s="11"/>
      <c r="I14" s="11"/>
    </row>
    <row r="15" spans="1:11" x14ac:dyDescent="0.25">
      <c r="A15" s="11"/>
      <c r="I15" s="11"/>
    </row>
    <row r="16" spans="1:11" x14ac:dyDescent="0.25">
      <c r="A16" s="11"/>
      <c r="I16" s="11"/>
    </row>
    <row r="17" spans="1:9" x14ac:dyDescent="0.25">
      <c r="A17" s="11"/>
      <c r="I17" s="11"/>
    </row>
    <row r="18" spans="1:9" x14ac:dyDescent="0.25">
      <c r="A18" s="11"/>
      <c r="I18" s="11"/>
    </row>
    <row r="19" spans="1:9" x14ac:dyDescent="0.25">
      <c r="A19" s="11"/>
      <c r="I19" s="11"/>
    </row>
    <row r="20" spans="1:9" x14ac:dyDescent="0.25">
      <c r="A20" s="11"/>
      <c r="I20" s="11"/>
    </row>
    <row r="21" spans="1:9" x14ac:dyDescent="0.25">
      <c r="A21" s="11"/>
      <c r="I21" s="11"/>
    </row>
    <row r="22" spans="1:9" x14ac:dyDescent="0.25">
      <c r="A22" s="11"/>
      <c r="I22" s="11"/>
    </row>
    <row r="23" spans="1:9" x14ac:dyDescent="0.25">
      <c r="A23" s="11"/>
      <c r="I23" s="11"/>
    </row>
    <row r="24" spans="1:9" x14ac:dyDescent="0.25">
      <c r="A24" s="11"/>
      <c r="I24" s="11"/>
    </row>
    <row r="25" spans="1:9" x14ac:dyDescent="0.25">
      <c r="A25" s="11"/>
      <c r="I25" s="11"/>
    </row>
    <row r="26" spans="1:9" x14ac:dyDescent="0.25">
      <c r="A26" s="11"/>
      <c r="I26" s="11"/>
    </row>
    <row r="27" spans="1:9" x14ac:dyDescent="0.25">
      <c r="A27" s="11"/>
      <c r="I27" s="11"/>
    </row>
    <row r="28" spans="1:9" x14ac:dyDescent="0.25">
      <c r="A28" s="11"/>
      <c r="I28" s="11"/>
    </row>
    <row r="29" spans="1:9" x14ac:dyDescent="0.25">
      <c r="A29" s="11"/>
      <c r="I29" s="11"/>
    </row>
    <row r="30" spans="1:9" x14ac:dyDescent="0.25">
      <c r="I30" s="11"/>
    </row>
    <row r="31" spans="1:9" x14ac:dyDescent="0.25">
      <c r="I31" s="11"/>
    </row>
    <row r="32" spans="1:9" x14ac:dyDescent="0.25">
      <c r="I32" s="11"/>
    </row>
    <row r="33" spans="9:9" x14ac:dyDescent="0.25">
      <c r="I33" s="11"/>
    </row>
    <row r="34" spans="9:9" x14ac:dyDescent="0.25">
      <c r="I34" s="11"/>
    </row>
    <row r="35" spans="9:9" x14ac:dyDescent="0.25">
      <c r="I35" s="11"/>
    </row>
    <row r="36" spans="9:9" x14ac:dyDescent="0.25">
      <c r="I36" s="11"/>
    </row>
    <row r="37" spans="9:9" x14ac:dyDescent="0.25">
      <c r="I37" s="11"/>
    </row>
    <row r="38" spans="9:9" x14ac:dyDescent="0.25">
      <c r="I38" s="11"/>
    </row>
    <row r="39" spans="9:9" x14ac:dyDescent="0.25">
      <c r="I39" s="11"/>
    </row>
    <row r="40" spans="9:9" x14ac:dyDescent="0.25">
      <c r="I40" s="11"/>
    </row>
    <row r="41" spans="9:9" x14ac:dyDescent="0.25">
      <c r="I41" s="11"/>
    </row>
    <row r="42" spans="9:9" x14ac:dyDescent="0.25">
      <c r="I42" s="11"/>
    </row>
    <row r="43" spans="9:9" x14ac:dyDescent="0.25">
      <c r="I43" s="11"/>
    </row>
    <row r="44" spans="9:9" x14ac:dyDescent="0.25">
      <c r="I44" s="11"/>
    </row>
  </sheetData>
  <phoneticPr fontId="19" type="noConversion"/>
  <dataValidations xWindow="223" yWindow="442" count="1">
    <dataValidation showInputMessage="1" showErrorMessage="1" promptTitle="Правила заполнения поля" sqref="C2:C10" xr:uid="{01458A7E-A635-48E8-B5E8-215E62112BA8}"/>
  </dataValidations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FC11-5EF6-4F5C-A808-297C6B9AF3F8}">
  <dimension ref="A1:D31"/>
  <sheetViews>
    <sheetView workbookViewId="0">
      <pane ySplit="1" topLeftCell="A5" activePane="bottomLeft" state="frozen"/>
      <selection pane="bottomLeft" activeCell="D14" sqref="D14"/>
    </sheetView>
  </sheetViews>
  <sheetFormatPr defaultRowHeight="15" x14ac:dyDescent="0.25"/>
  <cols>
    <col min="1" max="1" width="8.7109375" customWidth="1"/>
    <col min="2" max="3" width="20.7109375" customWidth="1"/>
    <col min="4" max="4" width="50.7109375" customWidth="1"/>
  </cols>
  <sheetData>
    <row r="1" spans="1:4" ht="26.45" customHeight="1" thickBot="1" x14ac:dyDescent="0.3">
      <c r="A1" s="20" t="s">
        <v>81</v>
      </c>
      <c r="B1" s="20" t="s">
        <v>70</v>
      </c>
      <c r="C1" s="21" t="s">
        <v>82</v>
      </c>
      <c r="D1" s="20" t="s">
        <v>2</v>
      </c>
    </row>
    <row r="2" spans="1:4" x14ac:dyDescent="0.25">
      <c r="A2" s="4">
        <v>0</v>
      </c>
      <c r="B2" s="5" t="s">
        <v>71</v>
      </c>
      <c r="C2" s="6" t="s">
        <v>71</v>
      </c>
      <c r="D2" s="7" t="s">
        <v>83</v>
      </c>
    </row>
    <row r="3" spans="1:4" x14ac:dyDescent="0.25">
      <c r="A3" s="4">
        <v>1</v>
      </c>
      <c r="B3" s="5" t="s">
        <v>72</v>
      </c>
      <c r="C3" s="6" t="s">
        <v>15</v>
      </c>
      <c r="D3" s="7" t="s">
        <v>84</v>
      </c>
    </row>
    <row r="4" spans="1:4" x14ac:dyDescent="0.25">
      <c r="A4" s="4">
        <v>2</v>
      </c>
      <c r="B4" s="5" t="s">
        <v>72</v>
      </c>
      <c r="C4" s="6" t="s">
        <v>41</v>
      </c>
      <c r="D4" s="7" t="s">
        <v>85</v>
      </c>
    </row>
    <row r="5" spans="1:4" x14ac:dyDescent="0.25">
      <c r="A5" s="4">
        <v>3</v>
      </c>
      <c r="B5" s="5" t="s">
        <v>72</v>
      </c>
      <c r="C5" s="6" t="s">
        <v>86</v>
      </c>
      <c r="D5" s="7" t="s">
        <v>87</v>
      </c>
    </row>
    <row r="6" spans="1:4" x14ac:dyDescent="0.25">
      <c r="A6" s="4">
        <v>4</v>
      </c>
      <c r="B6" s="5" t="s">
        <v>72</v>
      </c>
      <c r="C6" s="6" t="s">
        <v>21</v>
      </c>
      <c r="D6" s="7" t="s">
        <v>88</v>
      </c>
    </row>
    <row r="7" spans="1:4" x14ac:dyDescent="0.25">
      <c r="A7" s="4">
        <v>5</v>
      </c>
      <c r="B7" s="5" t="s">
        <v>75</v>
      </c>
      <c r="C7" s="6" t="s">
        <v>89</v>
      </c>
      <c r="D7" s="7" t="s">
        <v>90</v>
      </c>
    </row>
    <row r="8" spans="1:4" x14ac:dyDescent="0.25">
      <c r="A8" s="4">
        <v>6</v>
      </c>
      <c r="B8" s="5" t="s">
        <v>73</v>
      </c>
      <c r="C8" s="6" t="s">
        <v>91</v>
      </c>
      <c r="D8" s="7" t="s">
        <v>92</v>
      </c>
    </row>
    <row r="9" spans="1:4" x14ac:dyDescent="0.25">
      <c r="A9" s="4">
        <v>7</v>
      </c>
      <c r="B9" s="5" t="s">
        <v>74</v>
      </c>
      <c r="C9" s="6" t="s">
        <v>18</v>
      </c>
      <c r="D9" s="7" t="s">
        <v>93</v>
      </c>
    </row>
    <row r="10" spans="1:4" x14ac:dyDescent="0.25">
      <c r="A10" s="4">
        <v>8</v>
      </c>
      <c r="B10" s="5" t="s">
        <v>76</v>
      </c>
      <c r="C10" s="6" t="s">
        <v>94</v>
      </c>
      <c r="D10" s="7" t="s">
        <v>95</v>
      </c>
    </row>
    <row r="11" spans="1:4" ht="30" x14ac:dyDescent="0.25">
      <c r="A11" s="4">
        <v>9</v>
      </c>
      <c r="B11" s="5" t="s">
        <v>76</v>
      </c>
      <c r="C11" s="6" t="s">
        <v>96</v>
      </c>
      <c r="D11" s="7" t="s">
        <v>231</v>
      </c>
    </row>
    <row r="12" spans="1:4" ht="30" x14ac:dyDescent="0.25">
      <c r="A12" s="4">
        <v>10</v>
      </c>
      <c r="B12" s="5" t="s">
        <v>76</v>
      </c>
      <c r="C12" s="6" t="s">
        <v>31</v>
      </c>
      <c r="D12" s="7" t="s">
        <v>232</v>
      </c>
    </row>
    <row r="13" spans="1:4" ht="30" x14ac:dyDescent="0.25">
      <c r="A13" s="4">
        <v>11</v>
      </c>
      <c r="B13" s="5" t="s">
        <v>76</v>
      </c>
      <c r="C13" s="6" t="s">
        <v>37</v>
      </c>
      <c r="D13" s="7" t="s">
        <v>233</v>
      </c>
    </row>
    <row r="14" spans="1:4" ht="30" x14ac:dyDescent="0.25">
      <c r="A14" s="4">
        <v>12</v>
      </c>
      <c r="B14" s="5" t="s">
        <v>76</v>
      </c>
      <c r="C14" s="6" t="s">
        <v>97</v>
      </c>
      <c r="D14" s="7" t="s">
        <v>98</v>
      </c>
    </row>
    <row r="15" spans="1:4" x14ac:dyDescent="0.25">
      <c r="A15" s="4">
        <v>13</v>
      </c>
      <c r="B15" s="5" t="s">
        <v>77</v>
      </c>
      <c r="C15" s="6" t="s">
        <v>99</v>
      </c>
      <c r="D15" s="7" t="s">
        <v>100</v>
      </c>
    </row>
    <row r="16" spans="1:4" ht="30" x14ac:dyDescent="0.25">
      <c r="A16" s="4">
        <v>14</v>
      </c>
      <c r="B16" s="5" t="s">
        <v>77</v>
      </c>
      <c r="C16" s="6" t="s">
        <v>44</v>
      </c>
      <c r="D16" s="7" t="s">
        <v>234</v>
      </c>
    </row>
    <row r="17" spans="1:4" ht="30" x14ac:dyDescent="0.25">
      <c r="A17" s="4">
        <v>15</v>
      </c>
      <c r="B17" s="5" t="s">
        <v>77</v>
      </c>
      <c r="C17" s="6" t="s">
        <v>101</v>
      </c>
      <c r="D17" s="7" t="s">
        <v>235</v>
      </c>
    </row>
    <row r="18" spans="1:4" ht="30" x14ac:dyDescent="0.25">
      <c r="A18" s="4">
        <v>16</v>
      </c>
      <c r="B18" s="5" t="s">
        <v>77</v>
      </c>
      <c r="C18" s="6" t="s">
        <v>102</v>
      </c>
      <c r="D18" s="7" t="s">
        <v>236</v>
      </c>
    </row>
    <row r="19" spans="1:4" ht="30" x14ac:dyDescent="0.25">
      <c r="A19" s="4">
        <v>17</v>
      </c>
      <c r="B19" s="5" t="s">
        <v>77</v>
      </c>
      <c r="C19" s="6" t="s">
        <v>103</v>
      </c>
      <c r="D19" s="7" t="s">
        <v>104</v>
      </c>
    </row>
    <row r="20" spans="1:4" x14ac:dyDescent="0.25">
      <c r="A20" s="4">
        <v>18</v>
      </c>
      <c r="B20" s="5" t="s">
        <v>78</v>
      </c>
      <c r="C20" s="6" t="s">
        <v>105</v>
      </c>
      <c r="D20" s="7" t="s">
        <v>237</v>
      </c>
    </row>
    <row r="21" spans="1:4" ht="30" x14ac:dyDescent="0.25">
      <c r="A21" s="4">
        <v>19</v>
      </c>
      <c r="B21" s="5" t="s">
        <v>78</v>
      </c>
      <c r="C21" s="6" t="s">
        <v>106</v>
      </c>
      <c r="D21" s="7" t="s">
        <v>238</v>
      </c>
    </row>
    <row r="22" spans="1:4" ht="30" x14ac:dyDescent="0.25">
      <c r="A22" s="4">
        <v>20</v>
      </c>
      <c r="B22" s="5" t="s">
        <v>78</v>
      </c>
      <c r="C22" s="6" t="s">
        <v>107</v>
      </c>
      <c r="D22" s="7" t="s">
        <v>238</v>
      </c>
    </row>
    <row r="23" spans="1:4" ht="30" x14ac:dyDescent="0.25">
      <c r="A23" s="4">
        <v>21</v>
      </c>
      <c r="B23" s="5" t="s">
        <v>78</v>
      </c>
      <c r="C23" s="6" t="s">
        <v>108</v>
      </c>
      <c r="D23" s="7" t="s">
        <v>239</v>
      </c>
    </row>
    <row r="24" spans="1:4" x14ac:dyDescent="0.25">
      <c r="A24" s="4">
        <v>22</v>
      </c>
      <c r="B24" s="5" t="s">
        <v>78</v>
      </c>
      <c r="C24" s="6" t="s">
        <v>109</v>
      </c>
      <c r="D24" s="7" t="s">
        <v>110</v>
      </c>
    </row>
    <row r="25" spans="1:4" x14ac:dyDescent="0.25">
      <c r="A25" s="4">
        <v>23</v>
      </c>
      <c r="B25" s="5" t="s">
        <v>79</v>
      </c>
      <c r="C25" s="6" t="s">
        <v>111</v>
      </c>
      <c r="D25" s="7" t="s">
        <v>112</v>
      </c>
    </row>
    <row r="26" spans="1:4" ht="30" x14ac:dyDescent="0.25">
      <c r="A26" s="4">
        <v>24</v>
      </c>
      <c r="B26" s="5" t="s">
        <v>79</v>
      </c>
      <c r="C26" s="6" t="s">
        <v>113</v>
      </c>
      <c r="D26" s="7" t="s">
        <v>240</v>
      </c>
    </row>
    <row r="27" spans="1:4" ht="30" x14ac:dyDescent="0.25">
      <c r="A27" s="4">
        <v>25</v>
      </c>
      <c r="B27" s="5" t="s">
        <v>79</v>
      </c>
      <c r="C27" s="6" t="s">
        <v>114</v>
      </c>
      <c r="D27" s="7" t="s">
        <v>241</v>
      </c>
    </row>
    <row r="28" spans="1:4" ht="30" x14ac:dyDescent="0.25">
      <c r="A28" s="4">
        <v>26</v>
      </c>
      <c r="B28" s="5" t="s">
        <v>79</v>
      </c>
      <c r="C28" s="6" t="s">
        <v>115</v>
      </c>
      <c r="D28" s="7" t="s">
        <v>242</v>
      </c>
    </row>
    <row r="29" spans="1:4" x14ac:dyDescent="0.25">
      <c r="A29" s="4">
        <v>27</v>
      </c>
      <c r="B29" s="5" t="s">
        <v>79</v>
      </c>
      <c r="C29" s="6" t="s">
        <v>116</v>
      </c>
      <c r="D29" s="7" t="s">
        <v>117</v>
      </c>
    </row>
    <row r="30" spans="1:4" x14ac:dyDescent="0.25">
      <c r="A30" s="4">
        <v>28</v>
      </c>
      <c r="B30" s="5" t="s">
        <v>80</v>
      </c>
      <c r="C30" s="6" t="s">
        <v>26</v>
      </c>
      <c r="D30" s="7" t="s">
        <v>243</v>
      </c>
    </row>
    <row r="31" spans="1:4" ht="30" x14ac:dyDescent="0.25">
      <c r="A31" s="4">
        <v>29</v>
      </c>
      <c r="B31" s="5" t="s">
        <v>80</v>
      </c>
      <c r="C31" s="6" t="s">
        <v>118</v>
      </c>
      <c r="D31" s="7" t="s">
        <v>244</v>
      </c>
    </row>
  </sheetData>
  <dataConsolidate/>
  <dataValidations xWindow="203" yWindow="421" count="3">
    <dataValidation type="textLength" showInputMessage="1" showErrorMessage="1" errorTitle="Ошибка, не допустимые данные !" error="Ведено не допустимое значение департамента" promptTitle="Правила заполнения поля" prompt="Необходимо ввести текстовое значени отдела (департамента) компании._x000a_Это ссылочное значение. Сам реестр наименований департаментов храниться в другой справояной таблице &quot;TabDepartament&quot; расположенной &quot;HandBookDepartament&quot;" sqref="B2:B31" xr:uid="{55CC0AD9-1200-449B-AE26-7A534AC81BDD}">
      <formula1>2</formula1>
      <formula2>30</formula2>
    </dataValidation>
    <dataValidation type="textLength" showInputMessage="1" showErrorMessage="1" errorTitle="Ошибка, не допустимые данные !" error="Ведено не допустимое значение должности" promptTitle="Правила заполнения поля" prompt="Необходимо ввести текстовое значени должности. Должность связана с отделом (департамента)." sqref="C2:C31" xr:uid="{66237D53-A974-40BD-B1D8-CF95E39CDC4A}">
      <formula1>3</formula1>
      <formula2>30</formula2>
    </dataValidation>
    <dataValidation type="textLength" showInputMessage="1" showErrorMessage="1" errorTitle="Ошибка, не допустимые данные !" error="Ведено не допустимое рускоязычное значение должности" promptTitle="Правила заполнения поля" prompt="Ввести рускоязычное название должности" sqref="D2:D31" xr:uid="{E7C0F98C-628B-4B6B-834E-7C1932CEE5C1}">
      <formula1>3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C2"/>
  <sheetViews>
    <sheetView topLeftCell="B1" zoomScale="85" zoomScaleNormal="85"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20.5703125" customWidth="1"/>
    <col min="2" max="2" width="26" customWidth="1"/>
    <col min="3" max="3" width="141.7109375" customWidth="1"/>
  </cols>
  <sheetData>
    <row r="1" spans="1:3" x14ac:dyDescent="0.25">
      <c r="A1" s="48" t="s">
        <v>263</v>
      </c>
      <c r="B1" s="49" t="s">
        <v>258</v>
      </c>
      <c r="C1" s="48" t="s">
        <v>259</v>
      </c>
    </row>
    <row r="2" spans="1:3" x14ac:dyDescent="0.25">
      <c r="A2" s="23"/>
      <c r="B2" s="50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18"/>
  <sheetViews>
    <sheetView tabSelected="1" topLeftCell="A14" zoomScaleNormal="100" workbookViewId="0">
      <selection activeCell="B14" sqref="B14"/>
    </sheetView>
  </sheetViews>
  <sheetFormatPr defaultRowHeight="15" x14ac:dyDescent="0.25"/>
  <cols>
    <col min="1" max="1" width="10.42578125" customWidth="1"/>
    <col min="2" max="2" width="33.42578125" style="11" customWidth="1"/>
    <col min="3" max="3" width="85.42578125" customWidth="1"/>
    <col min="4" max="4" width="16.42578125" customWidth="1"/>
  </cols>
  <sheetData>
    <row r="1" spans="1:4" ht="32.450000000000003" customHeight="1" x14ac:dyDescent="0.25">
      <c r="A1" s="2" t="s">
        <v>262</v>
      </c>
      <c r="B1" s="2" t="s">
        <v>260</v>
      </c>
      <c r="C1" s="34" t="s">
        <v>261</v>
      </c>
      <c r="D1" s="42" t="s">
        <v>2</v>
      </c>
    </row>
    <row r="2" spans="1:4" ht="136.15" customHeight="1" x14ac:dyDescent="0.25">
      <c r="A2" s="51">
        <v>1</v>
      </c>
      <c r="B2" s="46" t="s">
        <v>328</v>
      </c>
      <c r="C2" s="52" t="s">
        <v>344</v>
      </c>
      <c r="D2" s="43"/>
    </row>
    <row r="3" spans="1:4" ht="160.15" customHeight="1" x14ac:dyDescent="0.25">
      <c r="A3" s="57">
        <v>2</v>
      </c>
      <c r="B3" s="46" t="s">
        <v>329</v>
      </c>
      <c r="C3" s="58" t="s">
        <v>345</v>
      </c>
      <c r="D3" s="59"/>
    </row>
    <row r="4" spans="1:4" ht="103.9" customHeight="1" x14ac:dyDescent="0.25">
      <c r="A4" s="51">
        <v>3</v>
      </c>
      <c r="B4" s="46" t="s">
        <v>333</v>
      </c>
      <c r="C4" s="52" t="s">
        <v>346</v>
      </c>
      <c r="D4" s="43"/>
    </row>
    <row r="5" spans="1:4" ht="158.44999999999999" customHeight="1" x14ac:dyDescent="0.25">
      <c r="A5" s="57">
        <v>4</v>
      </c>
      <c r="B5" s="46" t="s">
        <v>334</v>
      </c>
      <c r="C5" s="52" t="s">
        <v>347</v>
      </c>
      <c r="D5" s="43"/>
    </row>
    <row r="6" spans="1:4" ht="232.15" customHeight="1" x14ac:dyDescent="0.25">
      <c r="A6" s="51">
        <v>5</v>
      </c>
      <c r="B6" s="46" t="s">
        <v>335</v>
      </c>
      <c r="C6" s="52" t="s">
        <v>348</v>
      </c>
      <c r="D6" s="43"/>
    </row>
    <row r="7" spans="1:4" ht="175.9" customHeight="1" x14ac:dyDescent="0.25">
      <c r="A7" s="57">
        <v>6</v>
      </c>
      <c r="B7" s="46" t="s">
        <v>336</v>
      </c>
      <c r="C7" s="52" t="s">
        <v>349</v>
      </c>
      <c r="D7" s="43"/>
    </row>
    <row r="8" spans="1:4" ht="125.45" customHeight="1" x14ac:dyDescent="0.25">
      <c r="A8" s="51">
        <v>7</v>
      </c>
      <c r="B8" s="46" t="s">
        <v>337</v>
      </c>
      <c r="C8" s="52" t="s">
        <v>350</v>
      </c>
      <c r="D8" s="43"/>
    </row>
    <row r="9" spans="1:4" ht="166.9" customHeight="1" x14ac:dyDescent="0.25">
      <c r="A9" s="57">
        <v>8</v>
      </c>
      <c r="B9" s="46" t="s">
        <v>338</v>
      </c>
      <c r="C9" s="52" t="s">
        <v>351</v>
      </c>
      <c r="D9" s="43"/>
    </row>
    <row r="10" spans="1:4" ht="165.6" customHeight="1" x14ac:dyDescent="0.25">
      <c r="A10" s="51">
        <v>9</v>
      </c>
      <c r="B10" s="46" t="s">
        <v>339</v>
      </c>
      <c r="C10" s="52" t="s">
        <v>352</v>
      </c>
      <c r="D10" s="43"/>
    </row>
    <row r="11" spans="1:4" ht="137.44999999999999" customHeight="1" x14ac:dyDescent="0.25">
      <c r="A11" s="57">
        <v>10</v>
      </c>
      <c r="B11" s="46" t="s">
        <v>340</v>
      </c>
      <c r="C11" s="52" t="s">
        <v>353</v>
      </c>
      <c r="D11" s="43"/>
    </row>
    <row r="12" spans="1:4" ht="155.44999999999999" customHeight="1" x14ac:dyDescent="0.25">
      <c r="A12" s="51">
        <v>11</v>
      </c>
      <c r="B12" s="46" t="s">
        <v>341</v>
      </c>
      <c r="C12" s="52" t="s">
        <v>354</v>
      </c>
      <c r="D12" s="43"/>
    </row>
    <row r="13" spans="1:4" ht="153.6" customHeight="1" x14ac:dyDescent="0.25">
      <c r="A13" s="57">
        <v>12</v>
      </c>
      <c r="B13" s="46" t="s">
        <v>342</v>
      </c>
      <c r="C13" s="52" t="s">
        <v>355</v>
      </c>
      <c r="D13" s="43"/>
    </row>
    <row r="14" spans="1:4" ht="144" customHeight="1" x14ac:dyDescent="0.25">
      <c r="A14" s="51">
        <v>13</v>
      </c>
      <c r="B14" s="46" t="s">
        <v>343</v>
      </c>
      <c r="C14" s="52" t="s">
        <v>332</v>
      </c>
      <c r="D14" s="43"/>
    </row>
    <row r="15" spans="1:4" ht="129.6" customHeight="1" x14ac:dyDescent="0.25">
      <c r="A15" s="57">
        <v>14</v>
      </c>
      <c r="B15" s="60" t="s">
        <v>358</v>
      </c>
      <c r="C15" s="58" t="s">
        <v>357</v>
      </c>
      <c r="D15" s="59"/>
    </row>
    <row r="16" spans="1:4" ht="185.45" customHeight="1" x14ac:dyDescent="0.25">
      <c r="A16" s="57">
        <v>15</v>
      </c>
      <c r="B16" s="60" t="s">
        <v>366</v>
      </c>
      <c r="C16" s="58" t="s">
        <v>359</v>
      </c>
      <c r="D16" s="59"/>
    </row>
    <row r="17" spans="1:4" ht="184.9" customHeight="1" x14ac:dyDescent="0.25">
      <c r="A17" s="57">
        <v>16</v>
      </c>
      <c r="B17" s="60" t="s">
        <v>360</v>
      </c>
      <c r="C17" s="58" t="s">
        <v>363</v>
      </c>
      <c r="D17" s="59"/>
    </row>
    <row r="18" spans="1:4" ht="114.6" customHeight="1" x14ac:dyDescent="0.25">
      <c r="A18" s="57">
        <v>17</v>
      </c>
      <c r="B18" s="60" t="s">
        <v>365</v>
      </c>
      <c r="C18" s="58" t="s">
        <v>364</v>
      </c>
      <c r="D18" s="59"/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 xsi:nil="true"/>
    <TaxCatchAll xmlns="00626a45-2e8b-44e2-b2b6-fb30aea60018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2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3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F428D2F-958C-4F90-BAE5-DE993D97C453}">
  <ds:schemaRefs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00626a45-2e8b-44e2-b2b6-fb30aea60018"/>
    <ds:schemaRef ds:uri="9d226c47-cd18-4964-9161-6ccb92249125"/>
    <ds:schemaRef ds:uri="http://schemas.microsoft.com/office/2006/metadata/properties"/>
  </ds:schemaRefs>
</ds:datastoreItem>
</file>

<file path=customXml/itemProps6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EADC15C-FF58-4128-AB21-9B8A5736483E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9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10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LLCList</vt:lpstr>
      <vt:lpstr>EmployeeList</vt:lpstr>
      <vt:lpstr>EmploeeComm</vt:lpstr>
      <vt:lpstr>EmploeePersonal</vt:lpstr>
      <vt:lpstr>HandBookPost</vt:lpstr>
      <vt:lpstr>TableSchema</vt:lpstr>
      <vt:lpstr>ConfigJSON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</dc:creator>
  <cp:keywords/>
  <dc:description/>
  <cp:lastModifiedBy>Наталья Кукушкина</cp:lastModifiedBy>
  <cp:revision/>
  <dcterms:created xsi:type="dcterms:W3CDTF">2023-07-03T07:42:32Z</dcterms:created>
  <dcterms:modified xsi:type="dcterms:W3CDTF">2025-09-08T12:51:29Z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